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ЭтаКнига"/>
  <bookViews>
    <workbookView windowHeight="16920" tabRatio="795" firstSheet="2" activeTab="7"/>
  </bookViews>
  <sheets>
    <sheet name="Общие свединия " sheetId="60" r:id="rId1"/>
    <sheet name="Свод по зданиям" sheetId="53" r:id="rId2"/>
    <sheet name="Ограждающие к-я" sheetId="54" r:id="rId3"/>
    <sheet name="Электроэнергия" sheetId="47" r:id="rId4"/>
    <sheet name="Газ" sheetId="48" r:id="rId5"/>
    <sheet name="Вода" sheetId="50" r:id="rId6"/>
    <sheet name="Расходы на ед.пр" sheetId="61" r:id="rId7"/>
    <sheet name="котель" sheetId="63" r:id="rId8"/>
    <sheet name="ФЭС" sheetId="52" r:id="rId9"/>
    <sheet name="Кондиционирования" sheetId="56" r:id="rId10"/>
    <sheet name="Вентиляция " sheetId="57" r:id="rId11"/>
    <sheet name="Отвод п-с" sheetId="58" r:id="rId12"/>
    <sheet name="Холодильник" sheetId="59" r:id="rId13"/>
    <sheet name="значения" sheetId="55" state="hidden" r:id="rId14"/>
    <sheet name="мероприятия " sheetId="62" r:id="rId15"/>
  </sheets>
  <externalReferences>
    <externalReference r:id="rId16"/>
  </externalReferences>
  <definedNames>
    <definedName name="_xlnm._FilterDatabase" hidden="1">#REF!</definedName>
    <definedName name="МТ">[1]Раб!$O$10:$O$21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<sst xmlns="http://schemas.openxmlformats.org/spreadsheetml/2006/main" count="1374" uniqueCount="646">
  <si>
    <t>№</t>
  </si>
  <si>
    <t xml:space="preserve">Общие свединия опредприяти </t>
  </si>
  <si>
    <t>Полное наименование предприятия</t>
  </si>
  <si>
    <t xml:space="preserve">    ООО « Hаmkor nur savdo»</t>
  </si>
  <si>
    <t>Юридический адрес</t>
  </si>
  <si>
    <t>Ташкентская область, Ахангаран, терр-я промзоны, Б6</t>
  </si>
  <si>
    <t>ФИО руководителя</t>
  </si>
  <si>
    <t xml:space="preserve">Хамидов Абдулахад миркомилович </t>
  </si>
  <si>
    <t>Форма собственности</t>
  </si>
  <si>
    <t>ООО</t>
  </si>
  <si>
    <t>Отрасль экономики</t>
  </si>
  <si>
    <t>Дубление и выделка кожи; выделка и окраска меха</t>
  </si>
  <si>
    <t>ФИО ответственного за энергетику</t>
  </si>
  <si>
    <t xml:space="preserve">
MIRZAAXMEDOV RUSTAM XABIBULLAYEVICH </t>
  </si>
  <si>
    <t>Контактный телефон</t>
  </si>
  <si>
    <t>Электронная почта</t>
  </si>
  <si>
    <t>ulugbek.x026@gmail.com</t>
  </si>
  <si>
    <t>Численность персонала (чел.)</t>
  </si>
  <si>
    <t>Год основания</t>
  </si>
  <si>
    <t>9 сентября 2004 г.</t>
  </si>
  <si>
    <t>Площадь здания (м²)</t>
  </si>
  <si>
    <t>Объем здания (м³)</t>
  </si>
  <si>
    <t xml:space="preserve"> Здание</t>
  </si>
  <si>
    <t xml:space="preserve">1. Общие сведения </t>
  </si>
  <si>
    <t>1.1</t>
  </si>
  <si>
    <t>Наименование объекта</t>
  </si>
  <si>
    <t>1.2</t>
  </si>
  <si>
    <t>Адрес</t>
  </si>
  <si>
    <t>1.3</t>
  </si>
  <si>
    <t>Тип здания</t>
  </si>
  <si>
    <t xml:space="preserve">Нежилое </t>
  </si>
  <si>
    <t>1.4</t>
  </si>
  <si>
    <t>Год ввода в эксплуатацию</t>
  </si>
  <si>
    <t>1.5</t>
  </si>
  <si>
    <t>Общая площадь здания, м²</t>
  </si>
  <si>
    <t>1.6</t>
  </si>
  <si>
    <t>Отапливаемый объем, м³</t>
  </si>
  <si>
    <t>1.7</t>
  </si>
  <si>
    <t>Количество этажей</t>
  </si>
  <si>
    <t>2. Сведения о теплопотерях</t>
  </si>
  <si>
    <t>2.1</t>
  </si>
  <si>
    <t>Расчетные теплопотери, Гкал/год</t>
  </si>
  <si>
    <t>2.2</t>
  </si>
  <si>
    <t>Фактические теплопотери, Гкал/год</t>
  </si>
  <si>
    <t>2.3</t>
  </si>
  <si>
    <t>Удельное потребление тепловой энергии, Гкал/м²·год</t>
  </si>
  <si>
    <t>2.4</t>
  </si>
  <si>
    <t>Максимальное и относительное потребление энергии на отопление здания за градусо-день</t>
  </si>
  <si>
    <t xml:space="preserve">кВт </t>
  </si>
  <si>
    <t>3. Энергетические характеристики</t>
  </si>
  <si>
    <t>3.1</t>
  </si>
  <si>
    <t>Удельное энергопотребление, кВт·ч/м²·год</t>
  </si>
  <si>
    <t>3.2</t>
  </si>
  <si>
    <t>Годовое потребление тепловой энергии, Гкал</t>
  </si>
  <si>
    <t>3.3</t>
  </si>
  <si>
    <t>Годовое потребление электроэнергии, тыс. кВт·ч</t>
  </si>
  <si>
    <t xml:space="preserve">2022-2023-2024 год средное </t>
  </si>
  <si>
    <t>3.4</t>
  </si>
  <si>
    <t>Годовое потребление газа, тыс. м³</t>
  </si>
  <si>
    <t>3.5</t>
  </si>
  <si>
    <t>Энергетический класс здания</t>
  </si>
  <si>
    <t>А</t>
  </si>
  <si>
    <t>4. Энергопотребление по системам</t>
  </si>
  <si>
    <t>4.1</t>
  </si>
  <si>
    <t>Система</t>
  </si>
  <si>
    <t>Ед. изм.</t>
  </si>
  <si>
    <t>Потребление в год</t>
  </si>
  <si>
    <t>4.2</t>
  </si>
  <si>
    <t>Отопление</t>
  </si>
  <si>
    <t>Гкал</t>
  </si>
  <si>
    <t>4.3</t>
  </si>
  <si>
    <t>ГВС</t>
  </si>
  <si>
    <t>4.4</t>
  </si>
  <si>
    <t>Вентиляция и кондиционирование</t>
  </si>
  <si>
    <t>тыс. кВт·ч</t>
  </si>
  <si>
    <t>4.5</t>
  </si>
  <si>
    <t>Освещение</t>
  </si>
  <si>
    <t>4.6</t>
  </si>
  <si>
    <t>Прочие нужды</t>
  </si>
  <si>
    <t>5. Выводы и рекомендации</t>
  </si>
  <si>
    <t>5.1</t>
  </si>
  <si>
    <t>Оценка фактического энергопотребления</t>
  </si>
  <si>
    <t>5.2</t>
  </si>
  <si>
    <t>Выявленные теплопотери</t>
  </si>
  <si>
    <t>5.3</t>
  </si>
  <si>
    <t>Рекомендации по снижению энергопотребления</t>
  </si>
  <si>
    <t xml:space="preserve">Ограждающие конструкций </t>
  </si>
  <si>
    <t>1. Теплопотери через ограждающие конструкции</t>
  </si>
  <si>
    <t>Конструкция</t>
  </si>
  <si>
    <t>Площадь, м²</t>
  </si>
  <si>
    <t>Сопротивление теплопередаче R, м²·°C/Вт *</t>
  </si>
  <si>
    <t>Температурная разность, °C</t>
  </si>
  <si>
    <t>Q = S * ΔT / R, Вт</t>
  </si>
  <si>
    <t>Наружная стена</t>
  </si>
  <si>
    <t>Отстекления</t>
  </si>
  <si>
    <t>Крыша</t>
  </si>
  <si>
    <t>Пол по грунту</t>
  </si>
  <si>
    <t xml:space="preserve"> *Нормативные : R, м²·°C/Вт по ГСОП</t>
  </si>
  <si>
    <t>ГСОП (°С·сут/год)</t>
  </si>
  <si>
    <t>Стены (м²·°С/Вт)</t>
  </si>
  <si>
    <t>Кровля (м²·°С/Вт)</t>
  </si>
  <si>
    <t>Остекление (м²·°С/Вт)</t>
  </si>
  <si>
    <t>2. Энергетическая эффективность системы отопления</t>
  </si>
  <si>
    <t>Параметр</t>
  </si>
  <si>
    <t>Значение</t>
  </si>
  <si>
    <t>Единица измерения</t>
  </si>
  <si>
    <t>Комментарий</t>
  </si>
  <si>
    <t>Установленная мощность котлов</t>
  </si>
  <si>
    <t>кВт</t>
  </si>
  <si>
    <t>Фактическое теплопотребление за отопит. период</t>
  </si>
  <si>
    <t>Площадь здания</t>
  </si>
  <si>
    <t>м²</t>
  </si>
  <si>
    <t>Удельное потребление тепла</t>
  </si>
  <si>
    <t>кВт·ч/м²</t>
  </si>
  <si>
    <t>≈ 522 кВт·ч/м²</t>
  </si>
  <si>
    <t>КПД системы отопления</t>
  </si>
  <si>
    <t>%</t>
  </si>
  <si>
    <t>Паспортное значение котла</t>
  </si>
  <si>
    <t>Энергетический класс</t>
  </si>
  <si>
    <t>C</t>
  </si>
  <si>
    <t>-</t>
  </si>
  <si>
    <t>По классификатору</t>
  </si>
  <si>
    <t xml:space="preserve">АБК </t>
  </si>
  <si>
    <t>Материал</t>
  </si>
  <si>
    <t>Толщина, м</t>
  </si>
  <si>
    <t>λ (Вт/м·°C)</t>
  </si>
  <si>
    <t>R = δ/λ, (м²·°C)/Вт</t>
  </si>
  <si>
    <t>Нормативное Rтр</t>
  </si>
  <si>
    <t>ΔT, °C</t>
  </si>
  <si>
    <t>Q = S·ΔT/R, Вт</t>
  </si>
  <si>
    <t>потерия ВТ м2</t>
  </si>
  <si>
    <t xml:space="preserve">норма потерия Вт м2 </t>
  </si>
  <si>
    <t xml:space="preserve">Котегория </t>
  </si>
  <si>
    <t>Стена</t>
  </si>
  <si>
    <t xml:space="preserve">Шлака блок </t>
  </si>
  <si>
    <t>Окно</t>
  </si>
  <si>
    <t>Стеклопакет</t>
  </si>
  <si>
    <t>Плита и Профнастил</t>
  </si>
  <si>
    <t>Пол</t>
  </si>
  <si>
    <t xml:space="preserve">Бетон </t>
  </si>
  <si>
    <t xml:space="preserve">Админстративная </t>
  </si>
  <si>
    <t xml:space="preserve"> Система электроснабжения                                                                                                                                   1.Общие данные </t>
  </si>
  <si>
    <t xml:space="preserve"> №</t>
  </si>
  <si>
    <t xml:space="preserve">Параметр </t>
  </si>
  <si>
    <t>Ед.изм</t>
  </si>
  <si>
    <t xml:space="preserve">Значения </t>
  </si>
  <si>
    <t xml:space="preserve">Норматив/Требования </t>
  </si>
  <si>
    <t>Примечания</t>
  </si>
  <si>
    <t>Поставщик</t>
  </si>
  <si>
    <t xml:space="preserve"> Сети  АО"Худудэлектртармоклари"</t>
  </si>
  <si>
    <t>Категория надежности</t>
  </si>
  <si>
    <t>II</t>
  </si>
  <si>
    <r>
      <rPr>
        <sz val="10"/>
        <rFont val="Arial Cyr"/>
        <charset val="204"/>
      </rPr>
      <t xml:space="preserve">( </t>
    </r>
    <r>
      <rPr>
        <sz val="10"/>
        <rFont val="Arial"/>
        <charset val="204"/>
      </rPr>
      <t>I,II,III по ПУЭ</t>
    </r>
    <r>
      <rPr>
        <sz val="10"/>
        <rFont val="Arial Cyr"/>
        <charset val="204"/>
      </rPr>
      <t>)</t>
    </r>
  </si>
  <si>
    <t>Напрежения входящей сети</t>
  </si>
  <si>
    <t>кВ</t>
  </si>
  <si>
    <t xml:space="preserve">ГОСТ </t>
  </si>
  <si>
    <t>Макс.мощность подключения</t>
  </si>
  <si>
    <t>кВт/кВт</t>
  </si>
  <si>
    <t>по техусловиям(ТУ)</t>
  </si>
  <si>
    <t>Средесуточное потребления</t>
  </si>
  <si>
    <t>кВт*ч</t>
  </si>
  <si>
    <t>Годовой потребления</t>
  </si>
  <si>
    <t>тыс.кВт*ч</t>
  </si>
  <si>
    <t xml:space="preserve">2. Оборудования и инфростуктура </t>
  </si>
  <si>
    <t xml:space="preserve">Параметры </t>
  </si>
  <si>
    <t>Ед.изм.</t>
  </si>
  <si>
    <t>Кол-во/Мощность</t>
  </si>
  <si>
    <t>Техническое состаяние</t>
  </si>
  <si>
    <t>Срок эксплуатаций</t>
  </si>
  <si>
    <t>Трансформатор</t>
  </si>
  <si>
    <t>шт</t>
  </si>
  <si>
    <t xml:space="preserve">630 кВа      1000 кВа </t>
  </si>
  <si>
    <t xml:space="preserve">удв </t>
  </si>
  <si>
    <t>Распридительный щиты (РЩ)</t>
  </si>
  <si>
    <t>ККУ(кандицаторный установки р-э)</t>
  </si>
  <si>
    <t xml:space="preserve">125 квар   150 квар </t>
  </si>
  <si>
    <t>Генераторы резервные</t>
  </si>
  <si>
    <t>2.5</t>
  </si>
  <si>
    <t>ИБП ( источники без перебойного питания)</t>
  </si>
  <si>
    <t>2.6</t>
  </si>
  <si>
    <t>Кабельные линии</t>
  </si>
  <si>
    <t>м</t>
  </si>
  <si>
    <t>2.7</t>
  </si>
  <si>
    <r>
      <rPr>
        <sz val="10"/>
        <rFont val="Arial Cyr"/>
        <charset val="204"/>
      </rPr>
      <t>Электродвигатели         (</t>
    </r>
    <r>
      <rPr>
        <sz val="8"/>
        <rFont val="Arial Cyr"/>
        <charset val="204"/>
      </rPr>
      <t>2строка  наличие регулируемого эелктропривода</t>
    </r>
    <r>
      <rPr>
        <sz val="10"/>
        <rFont val="Arial Cyr"/>
        <charset val="204"/>
      </rPr>
      <t>)</t>
    </r>
  </si>
  <si>
    <t>2.8</t>
  </si>
  <si>
    <t>Система учета</t>
  </si>
  <si>
    <t>3. Системы КИПиА</t>
  </si>
  <si>
    <t xml:space="preserve">Тип прибора </t>
  </si>
  <si>
    <t xml:space="preserve">Дата выпуска </t>
  </si>
  <si>
    <t>Дата ГОСТ поверки</t>
  </si>
  <si>
    <t xml:space="preserve"> Примечания</t>
  </si>
  <si>
    <t xml:space="preserve">Коммерчиский  учёта </t>
  </si>
  <si>
    <t xml:space="preserve">ТЕ73 SG-1-0  19036783       ТЕ73 SG-1-0 19087231  </t>
  </si>
  <si>
    <t>22,10,2024</t>
  </si>
  <si>
    <t>22,10,2028</t>
  </si>
  <si>
    <t>Контроль напрежения</t>
  </si>
  <si>
    <t>Вольтметр</t>
  </si>
  <si>
    <t xml:space="preserve">Котроль тока </t>
  </si>
  <si>
    <t>Амперметр</t>
  </si>
  <si>
    <t>Автаматические выкльючатели</t>
  </si>
  <si>
    <t xml:space="preserve">4. Анализ расходов  </t>
  </si>
  <si>
    <t>Значения</t>
  </si>
  <si>
    <t>Период (мес./год)</t>
  </si>
  <si>
    <t>Тариф на э-э</t>
  </si>
  <si>
    <t>сум/кВт</t>
  </si>
  <si>
    <t>Дифф.</t>
  </si>
  <si>
    <t xml:space="preserve">Затраты </t>
  </si>
  <si>
    <t>сум.</t>
  </si>
  <si>
    <t xml:space="preserve">2023 год </t>
  </si>
  <si>
    <t xml:space="preserve">Затраты на э-э (месяц) </t>
  </si>
  <si>
    <t>кВт/ч</t>
  </si>
  <si>
    <t>средное за 2023 год</t>
  </si>
  <si>
    <t xml:space="preserve">Затраты на э-э (год) </t>
  </si>
  <si>
    <t xml:space="preserve">Техногические потери </t>
  </si>
  <si>
    <r>
      <rPr>
        <sz val="10"/>
        <rFont val="Arial Cyr"/>
        <charset val="204"/>
      </rPr>
      <t>Прочие потери                     (</t>
    </r>
    <r>
      <rPr>
        <sz val="8"/>
        <rFont val="Arial Cyr"/>
        <charset val="204"/>
      </rPr>
      <t>аварий, утечки, ППР</t>
    </r>
    <r>
      <rPr>
        <sz val="10"/>
        <rFont val="Arial Cyr"/>
        <charset val="204"/>
      </rPr>
      <t>)</t>
    </r>
  </si>
  <si>
    <t xml:space="preserve">5. Эксплуатация </t>
  </si>
  <si>
    <t>Дата</t>
  </si>
  <si>
    <t>Вид работ</t>
  </si>
  <si>
    <t>Исполнитель</t>
  </si>
  <si>
    <t>Стоимость</t>
  </si>
  <si>
    <t>Последнее ТО . ТП</t>
  </si>
  <si>
    <t>26,11,2023</t>
  </si>
  <si>
    <t xml:space="preserve">Испытания трансформатора  </t>
  </si>
  <si>
    <t xml:space="preserve">Elektro-tehnik labaratoriya </t>
  </si>
  <si>
    <t>Испытания на сопртивления изоляций кабеля</t>
  </si>
  <si>
    <t>Ремонтные работы</t>
  </si>
  <si>
    <t>5.4</t>
  </si>
  <si>
    <t>Замена КИП</t>
  </si>
  <si>
    <t>5.5</t>
  </si>
  <si>
    <t xml:space="preserve">Замена оборудования </t>
  </si>
  <si>
    <t>6.Система безопастности</t>
  </si>
  <si>
    <t>Состаяние (да/нет)</t>
  </si>
  <si>
    <t xml:space="preserve">Дата поверки </t>
  </si>
  <si>
    <t>Ответственый</t>
  </si>
  <si>
    <t>6.1</t>
  </si>
  <si>
    <t xml:space="preserve">Система аварийного отключения </t>
  </si>
  <si>
    <t>ПКТ-101-6-100-20УЗ 100 А</t>
  </si>
  <si>
    <t>6.2</t>
  </si>
  <si>
    <t>Системы контур заземления (молния отвод)</t>
  </si>
  <si>
    <t xml:space="preserve">Полосовая стал 40х4 </t>
  </si>
  <si>
    <t>6.3</t>
  </si>
  <si>
    <t>Средсва индувидуальной зашиты (СИЗ) соглосно нормы мед .аптечка</t>
  </si>
  <si>
    <t xml:space="preserve">Перечень СИЗ </t>
  </si>
  <si>
    <t>6.4</t>
  </si>
  <si>
    <t>Схема одноленейная электрическая схема. ТП</t>
  </si>
  <si>
    <t xml:space="preserve"> Система газснабжения                                                                                                                   1. Общая част</t>
  </si>
  <si>
    <t xml:space="preserve">Источник газа </t>
  </si>
  <si>
    <t>м3</t>
  </si>
  <si>
    <t>Поставщик АО "Худудгаз"</t>
  </si>
  <si>
    <t xml:space="preserve">Проектная мошность подключения </t>
  </si>
  <si>
    <t>м3/ч</t>
  </si>
  <si>
    <t>По техусловиям (ТУ)</t>
  </si>
  <si>
    <t>Рабочее давления в сети</t>
  </si>
  <si>
    <t>кг*см2</t>
  </si>
  <si>
    <t>ГОСТ,ТУ поставщика</t>
  </si>
  <si>
    <t>Макс.часавой расход</t>
  </si>
  <si>
    <t>Пиковая ногрузка</t>
  </si>
  <si>
    <r>
      <rPr>
        <sz val="10"/>
        <rFont val="Arial Cyr"/>
        <charset val="204"/>
      </rPr>
      <t>Средний суточный расход (</t>
    </r>
    <r>
      <rPr>
        <sz val="8"/>
        <rFont val="Arial Cyr"/>
        <charset val="204"/>
      </rPr>
      <t>зимний</t>
    </r>
    <r>
      <rPr>
        <sz val="10"/>
        <rFont val="Arial Cyr"/>
        <charset val="204"/>
      </rPr>
      <t xml:space="preserve">)          </t>
    </r>
  </si>
  <si>
    <t>м3/сут</t>
  </si>
  <si>
    <r>
      <rPr>
        <sz val="10"/>
        <rFont val="Arial Cyr"/>
        <charset val="204"/>
      </rPr>
      <t>Средний суточный расход     (</t>
    </r>
    <r>
      <rPr>
        <sz val="8"/>
        <rFont val="Arial Cyr"/>
        <charset val="204"/>
      </rPr>
      <t>летний</t>
    </r>
    <r>
      <rPr>
        <sz val="10"/>
        <rFont val="Arial Cyr"/>
        <charset val="204"/>
      </rPr>
      <t>)</t>
    </r>
  </si>
  <si>
    <t>тыс.м3</t>
  </si>
  <si>
    <t>Газовые котлы</t>
  </si>
  <si>
    <t>шт.</t>
  </si>
  <si>
    <t>Мощность котлов</t>
  </si>
  <si>
    <t>Теплогенераторы</t>
  </si>
  <si>
    <t>ПГ-4х</t>
  </si>
  <si>
    <t>В/К</t>
  </si>
  <si>
    <t>ГРП(газорегуляторный пункт)</t>
  </si>
  <si>
    <t xml:space="preserve">не удв </t>
  </si>
  <si>
    <t>Запорные арматуры</t>
  </si>
  <si>
    <t>3. Системы КИП</t>
  </si>
  <si>
    <t>Погрешность</t>
  </si>
  <si>
    <t>Коммерчиский узел учёта (счётчик)</t>
  </si>
  <si>
    <t xml:space="preserve">Смарт Г25  000072          Флоугаз 03021 </t>
  </si>
  <si>
    <t xml:space="preserve">2024 г 13 август              2023 г 6 декабр </t>
  </si>
  <si>
    <t>Контроль давления</t>
  </si>
  <si>
    <t>Манометр</t>
  </si>
  <si>
    <t>Газоанализаторы (CH4,CO)</t>
  </si>
  <si>
    <t>Тариф на газ</t>
  </si>
  <si>
    <t>сум/м3</t>
  </si>
  <si>
    <t>2024 год</t>
  </si>
  <si>
    <t xml:space="preserve">Затраты на газ (месяц) </t>
  </si>
  <si>
    <t>средное 2024 год</t>
  </si>
  <si>
    <t xml:space="preserve">Затраты на газ (год) </t>
  </si>
  <si>
    <t xml:space="preserve">в год </t>
  </si>
  <si>
    <t>Последнее ТО газового оборудования</t>
  </si>
  <si>
    <t xml:space="preserve">Опресовка газопроводов на герметичность </t>
  </si>
  <si>
    <t>2022 год сентябрь</t>
  </si>
  <si>
    <t>Замена счётчика принс на Смарт Г25</t>
  </si>
  <si>
    <t>ПЗК и ПСК</t>
  </si>
  <si>
    <t xml:space="preserve">Наличие сигнализаций загазовоности </t>
  </si>
  <si>
    <t xml:space="preserve">Вентиляция помещений с газомыми оборудованиями </t>
  </si>
  <si>
    <t xml:space="preserve">Естесвенний </t>
  </si>
  <si>
    <t xml:space="preserve"> Система водааснабжения</t>
  </si>
  <si>
    <t xml:space="preserve">1.Общие данные </t>
  </si>
  <si>
    <t xml:space="preserve">Потребление  воды из собственных источников водоснабжения и от сторонних организаций  скважина </t>
  </si>
  <si>
    <t xml:space="preserve">Поставщик АО "Сувсоз"          Скважина             </t>
  </si>
  <si>
    <t>10,61                      570,1</t>
  </si>
  <si>
    <t xml:space="preserve">в сутки по КЭН </t>
  </si>
  <si>
    <t>МПа(бар)</t>
  </si>
  <si>
    <t>2</t>
  </si>
  <si>
    <t>654,7</t>
  </si>
  <si>
    <t>2022 год</t>
  </si>
  <si>
    <t>770,93</t>
  </si>
  <si>
    <t>142,058</t>
  </si>
  <si>
    <t xml:space="preserve">Системы водопроводов  </t>
  </si>
  <si>
    <t>п/м</t>
  </si>
  <si>
    <t xml:space="preserve">Насосы </t>
  </si>
  <si>
    <t>3</t>
  </si>
  <si>
    <t xml:space="preserve">Системы очистных соружений и рециркуляции </t>
  </si>
  <si>
    <t>1</t>
  </si>
  <si>
    <t xml:space="preserve">Очисное соруужения не полная  </t>
  </si>
  <si>
    <t xml:space="preserve"> Система отведения сточных вод </t>
  </si>
  <si>
    <t xml:space="preserve">Канализация </t>
  </si>
  <si>
    <t>Байлан UW6 24622</t>
  </si>
  <si>
    <t>16 ноябр 2022 г</t>
  </si>
  <si>
    <t xml:space="preserve">Тариф </t>
  </si>
  <si>
    <t>2 октябр 2024</t>
  </si>
  <si>
    <t>Канализация  2000 сум/м3</t>
  </si>
  <si>
    <t xml:space="preserve">Затраты на  воду(месяц) </t>
  </si>
  <si>
    <t>м3.</t>
  </si>
  <si>
    <t xml:space="preserve">Затраты на воду       (год) </t>
  </si>
  <si>
    <t>Энергоноситель</t>
  </si>
  <si>
    <t>Годовой расход</t>
  </si>
  <si>
    <t>Удельный расход на 1 м2 продукции</t>
  </si>
  <si>
    <t>Источник данных</t>
  </si>
  <si>
    <t>Электроэнергия</t>
  </si>
  <si>
    <t>кВт·ч</t>
  </si>
  <si>
    <t>Счётчик / баланс</t>
  </si>
  <si>
    <t>В том числе по цехам</t>
  </si>
  <si>
    <t>Природный газ</t>
  </si>
  <si>
    <t>м³</t>
  </si>
  <si>
    <t>Газовый счётчик / баланс</t>
  </si>
  <si>
    <t>Для сушки, обогрева</t>
  </si>
  <si>
    <t>Вода (техническая)</t>
  </si>
  <si>
    <t>Водомер</t>
  </si>
  <si>
    <t>Для охлаждения, санитарии</t>
  </si>
  <si>
    <t>Дизельное топливо</t>
  </si>
  <si>
    <t>л</t>
  </si>
  <si>
    <t>Журнал расхода / накладные</t>
  </si>
  <si>
    <t>При наличии резервных ДГУ</t>
  </si>
  <si>
    <t>Уголь / мазут / др.</t>
  </si>
  <si>
    <t>кг / л</t>
  </si>
  <si>
    <t>Отчёт / журнал</t>
  </si>
  <si>
    <t>При наличии</t>
  </si>
  <si>
    <t>Прочее (по необходимости)</t>
  </si>
  <si>
    <t xml:space="preserve">Объём выпушенний продукции </t>
  </si>
  <si>
    <t>Год</t>
  </si>
  <si>
    <t xml:space="preserve">Кожа дм2 </t>
  </si>
  <si>
    <t xml:space="preserve">Дублённая кожа шт </t>
  </si>
  <si>
    <t xml:space="preserve">Спилок кг </t>
  </si>
  <si>
    <t xml:space="preserve">Примечание </t>
  </si>
  <si>
    <t xml:space="preserve"> -   </t>
  </si>
  <si>
    <t xml:space="preserve">Январь-апрель  </t>
  </si>
  <si>
    <t xml:space="preserve">Удельный расход на ед. продукта </t>
  </si>
  <si>
    <t xml:space="preserve">Электроэнергия </t>
  </si>
  <si>
    <t>год</t>
  </si>
  <si>
    <t xml:space="preserve">Итого </t>
  </si>
  <si>
    <t xml:space="preserve"> Хоз. быт нужд </t>
  </si>
  <si>
    <t xml:space="preserve"> Потеря  </t>
  </si>
  <si>
    <t xml:space="preserve">Производство </t>
  </si>
  <si>
    <t>продукт м2</t>
  </si>
  <si>
    <t xml:space="preserve">кВт/м2 </t>
  </si>
  <si>
    <t xml:space="preserve"> </t>
  </si>
  <si>
    <t>Газ</t>
  </si>
  <si>
    <t>Продукт м2</t>
  </si>
  <si>
    <t>м3/м2</t>
  </si>
  <si>
    <t xml:space="preserve">Вода </t>
  </si>
  <si>
    <t xml:space="preserve"> Продукт м2 </t>
  </si>
  <si>
    <t xml:space="preserve">Наименование </t>
  </si>
  <si>
    <t xml:space="preserve">Время </t>
  </si>
  <si>
    <t>°C Тдг</t>
  </si>
  <si>
    <t>% CO₂</t>
  </si>
  <si>
    <t>% qAnet</t>
  </si>
  <si>
    <t>λ</t>
  </si>
  <si>
    <t>% O₂</t>
  </si>
  <si>
    <t>ппм СO</t>
  </si>
  <si>
    <t>ппм нСО</t>
  </si>
  <si>
    <t>% уКПД</t>
  </si>
  <si>
    <t>Пасп. КПД %</t>
  </si>
  <si>
    <t xml:space="preserve">Отклонения от КПД </t>
  </si>
  <si>
    <t xml:space="preserve">Темп. ок.сред С </t>
  </si>
  <si>
    <t>мбар Тяга</t>
  </si>
  <si>
    <t xml:space="preserve">Мошност оборудование КВт </t>
  </si>
  <si>
    <t xml:space="preserve">Для природного газа </t>
  </si>
  <si>
    <t xml:space="preserve">Для угля </t>
  </si>
  <si>
    <t xml:space="preserve">Коифицент </t>
  </si>
  <si>
    <t xml:space="preserve">КПД % для газа </t>
  </si>
  <si>
    <t xml:space="preserve">КПд для угля </t>
  </si>
  <si>
    <t>пара/катёл</t>
  </si>
  <si>
    <t>воду нагревательный</t>
  </si>
  <si>
    <t>Вышее 100 КВТ мошносты нижная планка 84,9 %</t>
  </si>
  <si>
    <t xml:space="preserve"> основание </t>
  </si>
  <si>
    <t xml:space="preserve">Абк </t>
  </si>
  <si>
    <t xml:space="preserve">ШНК 2.01.18-24  </t>
  </si>
  <si>
    <t xml:space="preserve">Фактический расчёта расхода газа </t>
  </si>
  <si>
    <t xml:space="preserve">   Нормативний расчёта расхода газа </t>
  </si>
  <si>
    <t>Глава 6 Нормативние показатели энергоэффективности приборов пункт 27</t>
  </si>
  <si>
    <t>Обозначение</t>
  </si>
  <si>
    <t>Отапливаемая площадь</t>
  </si>
  <si>
    <t>S</t>
  </si>
  <si>
    <t>Удельные теплопотери</t>
  </si>
  <si>
    <t>qуд</t>
  </si>
  <si>
    <t>Вт/м²</t>
  </si>
  <si>
    <t>Разность температур (tв - tн)</t>
  </si>
  <si>
    <t>Δt</t>
  </si>
  <si>
    <t>°C</t>
  </si>
  <si>
    <t>Продолжительность отопления</t>
  </si>
  <si>
    <t>Zотопл</t>
  </si>
  <si>
    <t>суток</t>
  </si>
  <si>
    <t>КПД котла</t>
  </si>
  <si>
    <t>η</t>
  </si>
  <si>
    <t>Теплотворная способность газа</t>
  </si>
  <si>
    <t>Qг</t>
  </si>
  <si>
    <t>кВт·ч/м³</t>
  </si>
  <si>
    <t>Теплопотери Qпот</t>
  </si>
  <si>
    <t>Вт</t>
  </si>
  <si>
    <t>Потребность в тепле Qгод</t>
  </si>
  <si>
    <t>Расход газа Vг</t>
  </si>
  <si>
    <t>Расход на ед пл.д/год</t>
  </si>
  <si>
    <t xml:space="preserve">Расчёт расхода газа с учётом на объёма помещения </t>
  </si>
  <si>
    <t>Высота потолков</t>
  </si>
  <si>
    <t>H</t>
  </si>
  <si>
    <t>Объём помещения</t>
  </si>
  <si>
    <t>V</t>
  </si>
  <si>
    <t>Вт/м³·°C</t>
  </si>
  <si>
    <t>Расход на ед.об/год</t>
  </si>
  <si>
    <t xml:space="preserve">Нормы расхода </t>
  </si>
  <si>
    <t xml:space="preserve">Фактический </t>
  </si>
  <si>
    <t xml:space="preserve">Отклонения % </t>
  </si>
  <si>
    <t>7,1</t>
  </si>
  <si>
    <t>1,2</t>
  </si>
  <si>
    <t xml:space="preserve">Потенциал экономии </t>
  </si>
  <si>
    <t xml:space="preserve">Админстативное </t>
  </si>
  <si>
    <t>8,9</t>
  </si>
  <si>
    <t xml:space="preserve">Экономия </t>
  </si>
  <si>
    <t>Фотоэлектрической станции (ФЭС)                                                                                                                                 1. Общая част</t>
  </si>
  <si>
    <t>Адрес установки</t>
  </si>
  <si>
    <t>Тип ФЭС</t>
  </si>
  <si>
    <t>автономная / сетевая / гибридная</t>
  </si>
  <si>
    <t>Дата ввода в эксплуатацию</t>
  </si>
  <si>
    <t>Проектная организация</t>
  </si>
  <si>
    <t>Монтажная организация</t>
  </si>
  <si>
    <t>2. Основные технические характеристики</t>
  </si>
  <si>
    <t>Установленная мощность</t>
  </si>
  <si>
    <t>Тип и марка солнечных панелей</t>
  </si>
  <si>
    <t>Кол-во модулей</t>
  </si>
  <si>
    <t>Ориентация панелей (азимут, угол наклона)</t>
  </si>
  <si>
    <t>градусы</t>
  </si>
  <si>
    <t>Тип инвертора</t>
  </si>
  <si>
    <t>КПД солнечных модулей</t>
  </si>
  <si>
    <t>КПД инвертора</t>
  </si>
  <si>
    <t>Наличие накопителей энергии</t>
  </si>
  <si>
    <t>да / нет</t>
  </si>
  <si>
    <t>2.9</t>
  </si>
  <si>
    <t>Емкость накопителей (если есть)</t>
  </si>
  <si>
    <t>2.10</t>
  </si>
  <si>
    <t>3. Производственные характеристики</t>
  </si>
  <si>
    <t>2.11</t>
  </si>
  <si>
    <t>Среднегодовая выработка электроэнергии</t>
  </si>
  <si>
    <t>кВт·ч/год</t>
  </si>
  <si>
    <t>2.12</t>
  </si>
  <si>
    <t>Удельная выработка</t>
  </si>
  <si>
    <t>кВт·ч/кВт</t>
  </si>
  <si>
    <t>2.13</t>
  </si>
  <si>
    <t>График суточной и сезонной выработки</t>
  </si>
  <si>
    <t>(прилагается в виде диаграммы)</t>
  </si>
  <si>
    <t>4. Результаты энергоаудита / оценки эффективности</t>
  </si>
  <si>
    <t>Фактический коэффициент производительности (PR)</t>
  </si>
  <si>
    <t>Потери по компонентам</t>
  </si>
  <si>
    <t>(засорение, затенение, инвертор и др.)</t>
  </si>
  <si>
    <t>Соответствие нормативам и стандартам</t>
  </si>
  <si>
    <t>Энергосбережение / эффект от использования ФЭС</t>
  </si>
  <si>
    <t>Замещение потребления из сети</t>
  </si>
  <si>
    <t>Снижение выбросов CO₂</t>
  </si>
  <si>
    <t>т/год</t>
  </si>
  <si>
    <t>Общее состояние системы</t>
  </si>
  <si>
    <t>Потенциал повышения эффективности</t>
  </si>
  <si>
    <t>Рекомендации по эксплуатации и обслуживанию</t>
  </si>
  <si>
    <t>Приложения</t>
  </si>
  <si>
    <t>Схема, фото, паспорта, расчеты и графики</t>
  </si>
  <si>
    <t>1. Общие сведения</t>
  </si>
  <si>
    <t>Наименование объекта:</t>
  </si>
  <si>
    <t>Тип здания:</t>
  </si>
  <si>
    <t>Назначение помещения:</t>
  </si>
  <si>
    <t xml:space="preserve">АБК и Админстративная </t>
  </si>
  <si>
    <t>2. Технические характеристики системы кондиционирования</t>
  </si>
  <si>
    <t>Тип системы:</t>
  </si>
  <si>
    <t xml:space="preserve">Сплит кондиционер </t>
  </si>
  <si>
    <t>Производитель и модель:</t>
  </si>
  <si>
    <t xml:space="preserve">Артел </t>
  </si>
  <si>
    <t>Год выпуска/ввода в эксплуатацию:</t>
  </si>
  <si>
    <t>Холодопроизводительность (кВт):</t>
  </si>
  <si>
    <t>Теплопроизводительность (если предусмотрено):</t>
  </si>
  <si>
    <t>Потребляемая мощность (кВт):</t>
  </si>
  <si>
    <t xml:space="preserve">Класс энергоэффективности </t>
  </si>
  <si>
    <t>А+</t>
  </si>
  <si>
    <t>Тип хладагента:</t>
  </si>
  <si>
    <t>R 410 A фрион</t>
  </si>
  <si>
    <t>Состояние оборудования:</t>
  </si>
  <si>
    <t>3. Характеристика эксплуатации</t>
  </si>
  <si>
    <t>Режим работы системы:</t>
  </si>
  <si>
    <t xml:space="preserve">при необходимости в зависимосты от разници температур </t>
  </si>
  <si>
    <t>Среднегодовая загрузка (% от номинальной мощности):</t>
  </si>
  <si>
    <t>Сезонность работы:</t>
  </si>
  <si>
    <t xml:space="preserve">Летний </t>
  </si>
  <si>
    <t>Система управления:</t>
  </si>
  <si>
    <t xml:space="preserve">Встроинний термодатчик </t>
  </si>
  <si>
    <t>Наличие системы рекуперации:</t>
  </si>
  <si>
    <t xml:space="preserve">нет </t>
  </si>
  <si>
    <t>4. Потребление энергии</t>
  </si>
  <si>
    <t>Фактическое потребление электроэнергии (за год), кВт·ч:</t>
  </si>
  <si>
    <t>Удельное потребление энергии на 1 м² обслуживаемой площади, кВт·ч/м²:</t>
  </si>
  <si>
    <t>Сравнение с нормативными значениями:</t>
  </si>
  <si>
    <t>Оценка энергоэффективности:</t>
  </si>
  <si>
    <t>5. Теплотехнический анализ помещений</t>
  </si>
  <si>
    <t>Объём кондиционируемых помещений (м³):</t>
  </si>
  <si>
    <t>Теплопритоки от оборудования, людей, солнечной радиации (Вт):</t>
  </si>
  <si>
    <t xml:space="preserve">Не нормируемая </t>
  </si>
  <si>
    <t>Необходимая холодопроизводительность:</t>
  </si>
  <si>
    <t>Фактическая обеспеченность холодом (%):</t>
  </si>
  <si>
    <t>6. Выводы и рекомендации</t>
  </si>
  <si>
    <t>Общие выводы об эффективности работы системы кондиционирования:</t>
  </si>
  <si>
    <t>Наличие и причины перерасхода энергии (если выявлены):</t>
  </si>
  <si>
    <t>Рекомендации по улучшению энергоэффективности:</t>
  </si>
  <si>
    <t>7. Приложения</t>
  </si>
  <si>
    <t>7.1</t>
  </si>
  <si>
    <t>Копии технических паспортов оборудования</t>
  </si>
  <si>
    <t>7.2</t>
  </si>
  <si>
    <t>Планы помещений с указанием кондиционируемых зон</t>
  </si>
  <si>
    <t>7.3</t>
  </si>
  <si>
    <t>Диаграммы потребления энергии</t>
  </si>
  <si>
    <t>7.4</t>
  </si>
  <si>
    <t>Фотофиксация оборудования</t>
  </si>
  <si>
    <t>7.5</t>
  </si>
  <si>
    <t>Сертификаты энергоэффективности (если есть)</t>
  </si>
  <si>
    <r>
      <rPr>
        <b/>
        <sz val="11"/>
        <rFont val="Calibri"/>
        <charset val="204"/>
      </rPr>
      <t xml:space="preserve"> </t>
    </r>
    <r>
      <rPr>
        <b/>
        <sz val="14"/>
        <rFont val="Calibri"/>
        <charset val="204"/>
      </rPr>
      <t>Вентиляция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 Общие сведения</t>
    </r>
  </si>
  <si>
    <t xml:space="preserve">производственное </t>
  </si>
  <si>
    <t>2. Технические характеристики системы вентиляции</t>
  </si>
  <si>
    <t>Тип системы: (естественная, механическая, приточная, вытяжная, приточно-вытяжная)</t>
  </si>
  <si>
    <t xml:space="preserve">естесвенная </t>
  </si>
  <si>
    <t>Производитель и модель оборудования:</t>
  </si>
  <si>
    <t>Производительность по воздуху (м³/ч):</t>
  </si>
  <si>
    <t>Потребляемая мощность вентустановки (кВт):</t>
  </si>
  <si>
    <t>КПД вентилятора (%):</t>
  </si>
  <si>
    <t>Наличие калорифера/охладителя воздуха (тип, мощность):</t>
  </si>
  <si>
    <t>Тип системы автоматики и управления:</t>
  </si>
  <si>
    <t>Режим работы системы: (часы в сутки, дни в неделю)</t>
  </si>
  <si>
    <t>Наличие системы рекуперации тепла: (да/нет, тип)</t>
  </si>
  <si>
    <t>Уровень шума (дБ):</t>
  </si>
  <si>
    <t>Эффективность воздухообмена (кол-во обменов в час):</t>
  </si>
  <si>
    <t>5. Теплотехнический анализ</t>
  </si>
  <si>
    <t>Расчётные теплопотери при вентиляции (Вт):</t>
  </si>
  <si>
    <t>Эффективность теплоутилизации (если есть рекуператор), %:</t>
  </si>
  <si>
    <t>Необходимая тепловая мощность для нагрева воздуха:</t>
  </si>
  <si>
    <t>Фактическое соответствие потребностям (%):</t>
  </si>
  <si>
    <t>Общие выводы об эффективности работы системы вентиляции:</t>
  </si>
  <si>
    <t>Планы помещений с указанием вентиляционных зон</t>
  </si>
  <si>
    <t xml:space="preserve">котелная </t>
  </si>
  <si>
    <t>Дата составления:</t>
  </si>
  <si>
    <t>2. Технические характеристики системы отвода продуктов сгорания</t>
  </si>
  <si>
    <t>Тип системы: (естественная тяга, принудительная, комбинированная)</t>
  </si>
  <si>
    <t>Принудительная</t>
  </si>
  <si>
    <t>Тип и марка дымохода/вентилятора:</t>
  </si>
  <si>
    <t xml:space="preserve">В комплекте с котлом </t>
  </si>
  <si>
    <t>Высота и диаметр дымохода (м/мм):</t>
  </si>
  <si>
    <t>8-10 м / 2 мм</t>
  </si>
  <si>
    <t>Материал изготовления:</t>
  </si>
  <si>
    <t xml:space="preserve">жестянка </t>
  </si>
  <si>
    <t>Температура отходящих газов (°C):</t>
  </si>
  <si>
    <t xml:space="preserve">156,4                      222,1               169,6   </t>
  </si>
  <si>
    <t>Максимальная производительность по газу/воздуху (м³/ч):</t>
  </si>
  <si>
    <t xml:space="preserve">115м3  газ воздух 1150м3 / 165 м3 газ 1650 м3 воздух   /  8,2 газ 82 м3 воздух </t>
  </si>
  <si>
    <t>Потери давления в системе (Па):</t>
  </si>
  <si>
    <t>Состояние оборудования и каналов:</t>
  </si>
  <si>
    <t>не удв</t>
  </si>
  <si>
    <t>Режим работы системы (часы в сутки, дни в неделю):</t>
  </si>
  <si>
    <t>Тип подключенного оборудования (котлы, горелки и т.д.):</t>
  </si>
  <si>
    <t>Температурный режим эксплуатации:</t>
  </si>
  <si>
    <t>Наличие систем контроля тяги и загазованности:</t>
  </si>
  <si>
    <t>Обслуживание и частота очистки:</t>
  </si>
  <si>
    <t>4. Потребление энергии (если есть электровентиляторы)</t>
  </si>
  <si>
    <t>Потребляемая мощность вентилятора (кВт):</t>
  </si>
  <si>
    <t xml:space="preserve">0,7           1          0,3    </t>
  </si>
  <si>
    <t>Фактическое годовое потребление электроэнергии (кВт·ч):</t>
  </si>
  <si>
    <t>2520      3600         1080</t>
  </si>
  <si>
    <t>5. Технический анализ</t>
  </si>
  <si>
    <t>Расчётная тяга (Па):</t>
  </si>
  <si>
    <t>Фактическая тяга (Па):</t>
  </si>
  <si>
    <t>Потери тепла через дымоход (Вт):</t>
  </si>
  <si>
    <t>Эффективность использования тепла сгорания (%):</t>
  </si>
  <si>
    <t>Общие выводы об эффективности работы системы:</t>
  </si>
  <si>
    <t>Рекомендации по улучшению энергоэффективности и безопасности:</t>
  </si>
  <si>
    <t>Схемы подключения и разводки каналов</t>
  </si>
  <si>
    <t>Фотофиксация оборудования и каналов</t>
  </si>
  <si>
    <t>Отчёты по газоанализу (если проводились)</t>
  </si>
  <si>
    <t>Раздел</t>
  </si>
  <si>
    <t>Показатель</t>
  </si>
  <si>
    <t>Описание / Значение</t>
  </si>
  <si>
    <t xml:space="preserve"> нагрузка (кВт·ч)</t>
  </si>
  <si>
    <t>Оборудование</t>
  </si>
  <si>
    <t>Тип оборудования</t>
  </si>
  <si>
    <t>Производитель / модель</t>
  </si>
  <si>
    <t>Мощность компрессора (кВт)</t>
  </si>
  <si>
    <t>Год выпуска</t>
  </si>
  <si>
    <t>Тип хладагента</t>
  </si>
  <si>
    <t>Температура кипения (°C)</t>
  </si>
  <si>
    <t>Температура конденсации (°C)</t>
  </si>
  <si>
    <t>Холодопроизводительность (кВт)</t>
  </si>
  <si>
    <t>Энергетические параметры</t>
  </si>
  <si>
    <t>Суточное потребление электроэнергии (кВт·ч)</t>
  </si>
  <si>
    <t>Годовое потребление электроэнергии (кВт·ч)</t>
  </si>
  <si>
    <t>Коэффициент энергоэффективности (COP)</t>
  </si>
  <si>
    <t>Удельное энергопотребление (кВт·ч/кВт холода)</t>
  </si>
  <si>
    <t>Фактическая нагрузка (%)</t>
  </si>
  <si>
    <t>Уровень потерь в трубопроводах (%)</t>
  </si>
  <si>
    <t>Коэффициент использования мощности</t>
  </si>
  <si>
    <t>Сравнение с эталоном</t>
  </si>
  <si>
    <t>Нормативное значение COP (по ISO/EN)</t>
  </si>
  <si>
    <t>Фактическое значение COP</t>
  </si>
  <si>
    <t>Эталонное оборудование (модель)</t>
  </si>
  <si>
    <t>Класс энергоэффективности (A-G)</t>
  </si>
  <si>
    <t>Рекомендации</t>
  </si>
  <si>
    <t>Улучшение теплоизоляции</t>
  </si>
  <si>
    <t>Установка частотного преобразователя</t>
  </si>
  <si>
    <t>Оптимизация графика загрузки</t>
  </si>
  <si>
    <t>Техническое обслуживание</t>
  </si>
  <si>
    <t>Замена на более эффективное оборудование</t>
  </si>
  <si>
    <r>
      <rPr>
        <b/>
        <sz val="10"/>
        <color rgb="FF474747"/>
        <rFont val="Times New Roman"/>
        <charset val="204"/>
      </rPr>
      <t>Тепловая мощность измеряется в гигакаллориях (Гкал) или мегаваттах (МВт). 1 Гкал/час — это 40 кубометров воды (40 м3/час), нагретые на 25 градусов Цельсия (25˚С) за один час</t>
    </r>
    <r>
      <rPr>
        <b/>
        <sz val="10"/>
        <color rgb="FF040C28"/>
        <rFont val="Times New Roman"/>
        <charset val="204"/>
      </rPr>
      <t>.</t>
    </r>
    <r>
      <rPr>
        <b/>
        <sz val="10"/>
        <color rgb="FF474747"/>
        <rFont val="Times New Roman"/>
        <charset val="204"/>
      </rPr>
      <t> </t>
    </r>
    <r>
      <rPr>
        <b/>
        <sz val="10"/>
        <color rgb="FF040C28"/>
        <rFont val="Times New Roman"/>
        <charset val="204"/>
      </rPr>
      <t>1 Гкал = 1.163</t>
    </r>
    <r>
      <rPr>
        <b/>
        <sz val="10"/>
        <color rgb="FF474747"/>
        <rFont val="Times New Roman"/>
        <charset val="204"/>
      </rPr>
      <t> МВт</t>
    </r>
  </si>
  <si>
    <t>Мероприятие</t>
  </si>
  <si>
    <t>Затраты (сум)</t>
  </si>
  <si>
    <t>Годовая экономия (сум)</t>
  </si>
  <si>
    <t>Годовая экономия энерго ресурсах</t>
  </si>
  <si>
    <t>Срок окупаемости (лет)</t>
  </si>
  <si>
    <t>Срок выполнение</t>
  </si>
  <si>
    <t>Отвественний</t>
  </si>
  <si>
    <t>ФЭС, (50 кВт)</t>
  </si>
  <si>
    <t>54600 квт/г</t>
  </si>
  <si>
    <t>Охладители, воздухообмен</t>
  </si>
  <si>
    <t>Внедрение ИСО 50001</t>
  </si>
  <si>
    <t>Заменить ГРП + опрессовка газопровода</t>
  </si>
  <si>
    <t xml:space="preserve">Аккумулятор на  2мвт </t>
  </si>
  <si>
    <t>Внедрить систему технологического учёта энергоресурсов</t>
  </si>
  <si>
    <t xml:space="preserve">Воздухонагреватель </t>
  </si>
  <si>
    <t xml:space="preserve">Ввести эксплуатационный паспорт на автотранспорты  </t>
  </si>
  <si>
    <t xml:space="preserve">Ввести эксплуатационный паспорти по всем инженерным коммуникациям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</si>
</sst>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-* #,##0.00_р_._-;\-* #,##0.00_р_._-;_-* &quot;-&quot;??_р_._-;_-@_-"/>
    <numFmt numFmtId="177" formatCode="0.0"/>
    <numFmt numFmtId="178" formatCode="dd/mm/yyyy\ h:mm:ss"/>
    <numFmt numFmtId="179" formatCode="_-* #,##0.0_р_._-;\-* #,##0.0_р_._-;_-* &quot;-&quot;??_р_._-;_-@_-"/>
    <numFmt numFmtId="180" formatCode="_-* #,##0.0\ _₽_-;\-* #,##0.0\ _₽_-;_-* &quot;-&quot;?\ _₽_-;_-@_-"/>
    <numFmt numFmtId="181" formatCode="_-* #,##0_р_._-;\-* #,##0_р_._-;_-* &quot;-&quot;??_р_._-;_-@_-"/>
    <numFmt numFmtId="182" formatCode="_-* #,##0.00\ _₽_-;\-* #,##0.00\ _₽_-;_-* &quot;-&quot;??\ _₽_-;_-@_-"/>
    <numFmt numFmtId="183" formatCode="_-* #,##0_-;\-* #,##0_-;_-* &quot;-&quot;??_-;_-@_-"/>
    <numFmt numFmtId="184" formatCode="_-* #,##0.0_-;\-* #,##0.0_-;_-* &quot;-&quot;??_-;_-@_-"/>
  </numFmts>
  <fonts count="57">
    <font>
      <sz val="10"/>
      <name val="Arial Cyr"/>
      <charset val="20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111111"/>
      <name val="HelveticaNeueCyr"/>
      <charset val="134"/>
    </font>
    <font>
      <b/>
      <sz val="10"/>
      <color rgb="FF474747"/>
      <name val="Times New Roman"/>
      <charset val="204"/>
    </font>
    <font>
      <b/>
      <sz val="11"/>
      <color theme="1"/>
      <name val="Calibri"/>
      <charset val="134"/>
      <scheme val="minor"/>
    </font>
    <font>
      <b/>
      <sz val="11"/>
      <name val="Calibri"/>
      <charset val="204"/>
    </font>
    <font>
      <sz val="11"/>
      <color rgb="FF000000"/>
      <name val="Calibri"/>
      <charset val="134"/>
      <scheme val="minor"/>
    </font>
    <font>
      <sz val="12"/>
      <name val="Arial Cyr"/>
      <charset val="204"/>
    </font>
    <font>
      <b/>
      <sz val="12"/>
      <name val="Calibri"/>
      <charset val="204"/>
    </font>
    <font>
      <b/>
      <sz val="14"/>
      <name val="Calibri"/>
      <charset val="204"/>
    </font>
    <font>
      <b/>
      <sz val="10"/>
      <name val="Arial Cyr"/>
      <charset val="204"/>
    </font>
    <font>
      <b/>
      <sz val="12"/>
      <color rgb="FF000000"/>
      <name val="Calibri"/>
      <charset val="134"/>
    </font>
    <font>
      <b/>
      <sz val="10"/>
      <color rgb="FFFF0000"/>
      <name val="Arial Cyr"/>
      <charset val="204"/>
    </font>
    <font>
      <b/>
      <sz val="8"/>
      <name val="Arial"/>
      <charset val="134"/>
    </font>
    <font>
      <b/>
      <sz val="9"/>
      <name val="Arial"/>
      <charset val="134"/>
    </font>
    <font>
      <sz val="11"/>
      <name val="Calibri"/>
      <charset val="134"/>
    </font>
    <font>
      <b/>
      <sz val="14"/>
      <name val="Calibri"/>
      <charset val="134"/>
    </font>
    <font>
      <sz val="14"/>
      <name val="Calibri"/>
      <charset val="134"/>
    </font>
    <font>
      <b/>
      <sz val="12"/>
      <name val="Arial Cyr"/>
      <charset val="204"/>
    </font>
    <font>
      <b/>
      <sz val="12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0"/>
      <color rgb="FFFF0000"/>
      <name val="Arial Cyr"/>
      <charset val="204"/>
    </font>
    <font>
      <sz val="15"/>
      <color rgb="FF1F1F1F"/>
      <name val="Arial"/>
      <charset val="134"/>
    </font>
    <font>
      <sz val="10"/>
      <color rgb="FF92D050"/>
      <name val="Arial Cyr"/>
      <charset val="204"/>
    </font>
    <font>
      <sz val="11"/>
      <name val="Calibri"/>
      <charset val="204"/>
    </font>
    <font>
      <b/>
      <sz val="14"/>
      <color theme="1"/>
      <name val="Times New Roman"/>
      <charset val="204"/>
    </font>
    <font>
      <sz val="12"/>
      <name val="Times New Roman"/>
      <charset val="204"/>
    </font>
    <font>
      <sz val="10"/>
      <name val="Calibri"/>
      <charset val="134"/>
      <scheme val="minor"/>
    </font>
    <font>
      <sz val="12"/>
      <color rgb="FF21252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indexed="10"/>
      <name val="Calibri"/>
      <charset val="204"/>
    </font>
    <font>
      <b/>
      <sz val="18"/>
      <color indexed="56"/>
      <name val="Cambria"/>
      <charset val="204"/>
    </font>
    <font>
      <i/>
      <sz val="11"/>
      <color rgb="FF7F7F7F"/>
      <name val="Calibri"/>
      <charset val="0"/>
      <scheme val="minor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1"/>
      <color indexed="9"/>
      <name val="Calibri"/>
      <charset val="204"/>
    </font>
    <font>
      <sz val="11"/>
      <color indexed="52"/>
      <name val="Calibri"/>
      <charset val="204"/>
    </font>
    <font>
      <b/>
      <sz val="11"/>
      <color indexed="8"/>
      <name val="Calibri"/>
      <charset val="204"/>
    </font>
    <font>
      <sz val="11"/>
      <color indexed="17"/>
      <name val="Calibri"/>
      <charset val="204"/>
    </font>
    <font>
      <sz val="11"/>
      <color indexed="20"/>
      <name val="Calibri"/>
      <charset val="204"/>
    </font>
    <font>
      <sz val="11"/>
      <color indexed="60"/>
      <name val="Calibri"/>
      <charset val="204"/>
    </font>
    <font>
      <sz val="11"/>
      <color indexed="9"/>
      <name val="Calibri"/>
      <charset val="20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indexed="8"/>
      <name val="Calibri"/>
      <charset val="204"/>
    </font>
    <font>
      <i/>
      <sz val="11"/>
      <color indexed="23"/>
      <name val="Calibri"/>
      <charset val="204"/>
    </font>
    <font>
      <sz val="10"/>
      <name val="Arial"/>
      <charset val="204"/>
    </font>
    <font>
      <sz val="11"/>
      <color theme="1"/>
      <name val="Calibri"/>
      <charset val="134"/>
      <scheme val="minor"/>
    </font>
    <font>
      <sz val="8"/>
      <name val="Arial Cyr"/>
      <charset val="204"/>
    </font>
    <font>
      <b/>
      <sz val="10"/>
      <color rgb="FF040C28"/>
      <name val="Times New Roman"/>
      <charset val="204"/>
    </font>
  </fonts>
  <fills count="5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4">
    <xf numFmtId="0" fontId="0" fillId="0" borderId="0"/>
    <xf numFmtId="176" fontId="0" fillId="0" borderId="0" applyFont="0" applyFill="0" applyBorder="0" applyAlignment="0" applyProtection="0"/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4" borderId="43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36" fillId="0" borderId="44" applyNumberFormat="0" applyFill="0" applyAlignment="0" applyProtection="0"/>
    <xf numFmtId="0" fontId="37" fillId="0" borderId="45" applyNumberFormat="0" applyFill="0" applyAlignment="0" applyProtection="0"/>
    <xf numFmtId="0" fontId="38" fillId="0" borderId="46" applyNumberFormat="0" applyFill="0" applyAlignment="0" applyProtection="0"/>
    <xf numFmtId="0" fontId="38" fillId="0" borderId="0" applyNumberFormat="0" applyFill="0" applyBorder="0" applyAlignment="0" applyProtection="0"/>
    <xf numFmtId="0" fontId="39" fillId="15" borderId="47" applyNumberFormat="0" applyAlignment="0" applyProtection="0"/>
    <xf numFmtId="0" fontId="40" fillId="16" borderId="48" applyNumberFormat="0" applyAlignment="0" applyProtection="0"/>
    <xf numFmtId="0" fontId="41" fillId="16" borderId="47" applyNumberFormat="0" applyAlignment="0" applyProtection="0"/>
    <xf numFmtId="0" fontId="42" fillId="17" borderId="49" applyNumberFormat="0" applyAlignment="0" applyProtection="0"/>
    <xf numFmtId="0" fontId="43" fillId="0" borderId="50" applyNumberFormat="0" applyFill="0" applyAlignment="0" applyProtection="0"/>
    <xf numFmtId="0" fontId="44" fillId="0" borderId="51" applyNumberFormat="0" applyFill="0" applyAlignment="0" applyProtection="0"/>
    <xf numFmtId="0" fontId="45" fillId="18" borderId="0" applyNumberFormat="0" applyBorder="0" applyAlignment="0" applyProtection="0"/>
    <xf numFmtId="0" fontId="46" fillId="19" borderId="0" applyNumberFormat="0" applyBorder="0" applyAlignment="0" applyProtection="0"/>
    <xf numFmtId="0" fontId="47" fillId="20" borderId="0" applyNumberFormat="0" applyBorder="0" applyAlignment="0" applyProtection="0"/>
    <xf numFmtId="0" fontId="48" fillId="21" borderId="0" applyNumberFormat="0" applyBorder="0" applyAlignment="0" applyProtection="0"/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/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/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/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/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/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/>
    <xf numFmtId="0" fontId="51" fillId="19" borderId="0" applyNumberFormat="0" applyBorder="0" applyAlignment="0" applyProtection="0"/>
    <xf numFmtId="0" fontId="51" fillId="18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15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50" borderId="0" applyNumberFormat="0" applyBorder="0" applyAlignment="0" applyProtection="0"/>
    <xf numFmtId="0" fontId="51" fillId="46" borderId="0" applyNumberFormat="0" applyBorder="0" applyAlignment="0" applyProtection="0"/>
    <xf numFmtId="0" fontId="51" fillId="48" borderId="0" applyNumberFormat="0" applyBorder="0" applyAlignment="0" applyProtection="0"/>
    <xf numFmtId="0" fontId="51" fillId="51" borderId="0" applyNumberFormat="0" applyBorder="0" applyAlignment="0" applyProtection="0"/>
    <xf numFmtId="0" fontId="48" fillId="52" borderId="0" applyNumberFormat="0" applyBorder="0" applyAlignment="0" applyProtection="0"/>
    <xf numFmtId="0" fontId="48" fillId="49" borderId="0" applyNumberFormat="0" applyBorder="0" applyAlignment="0" applyProtection="0"/>
    <xf numFmtId="0" fontId="48" fillId="50" borderId="0" applyNumberFormat="0" applyBorder="0" applyAlignment="0" applyProtection="0"/>
    <xf numFmtId="0" fontId="48" fillId="33" borderId="0" applyNumberFormat="0" applyBorder="0" applyAlignment="0" applyProtection="0"/>
    <xf numFmtId="0" fontId="48" fillId="37" borderId="0" applyNumberFormat="0" applyBorder="0" applyAlignment="0" applyProtection="0"/>
    <xf numFmtId="0" fontId="48" fillId="53" borderId="0" applyNumberFormat="0" applyBorder="0" applyAlignment="0" applyProtection="0"/>
    <xf numFmtId="0" fontId="52" fillId="0" borderId="0" applyNumberFormat="0" applyFill="0" applyBorder="0" applyAlignment="0" applyProtection="0"/>
    <xf numFmtId="0" fontId="48" fillId="21" borderId="0" applyNumberFormat="0" applyBorder="0" applyAlignment="0" applyProtection="0"/>
    <xf numFmtId="0" fontId="48" fillId="25" borderId="0" applyNumberFormat="0" applyBorder="0" applyAlignment="0" applyProtection="0"/>
    <xf numFmtId="0" fontId="48" fillId="29" borderId="0" applyNumberFormat="0" applyBorder="0" applyAlignment="0" applyProtection="0"/>
    <xf numFmtId="0" fontId="48" fillId="33" borderId="0" applyNumberFormat="0" applyBorder="0" applyAlignment="0" applyProtection="0"/>
    <xf numFmtId="0" fontId="48" fillId="37" borderId="0" applyNumberFormat="0" applyBorder="0" applyAlignment="0" applyProtection="0"/>
    <xf numFmtId="0" fontId="48" fillId="41" borderId="0" applyNumberFormat="0" applyBorder="0" applyAlignment="0" applyProtection="0"/>
    <xf numFmtId="0" fontId="39" fillId="15" borderId="47" applyNumberFormat="0" applyAlignment="0" applyProtection="0"/>
    <xf numFmtId="0" fontId="40" fillId="16" borderId="48" applyNumberFormat="0" applyAlignment="0" applyProtection="0"/>
    <xf numFmtId="0" fontId="41" fillId="16" borderId="47" applyNumberFormat="0" applyAlignment="0" applyProtection="0"/>
    <xf numFmtId="0" fontId="36" fillId="0" borderId="44" applyNumberFormat="0" applyFill="0" applyAlignment="0" applyProtection="0"/>
    <xf numFmtId="0" fontId="37" fillId="0" borderId="45" applyNumberFormat="0" applyFill="0" applyAlignment="0" applyProtection="0"/>
    <xf numFmtId="0" fontId="38" fillId="0" borderId="46" applyNumberFormat="0" applyFill="0" applyAlignment="0" applyProtection="0"/>
    <xf numFmtId="0" fontId="38" fillId="0" borderId="0" applyNumberFormat="0" applyFill="0" applyBorder="0" applyAlignment="0" applyProtection="0"/>
    <xf numFmtId="0" fontId="44" fillId="0" borderId="51" applyNumberFormat="0" applyFill="0" applyAlignment="0" applyProtection="0"/>
    <xf numFmtId="0" fontId="42" fillId="17" borderId="49" applyNumberFormat="0" applyAlignment="0" applyProtection="0"/>
    <xf numFmtId="0" fontId="34" fillId="0" borderId="0" applyNumberFormat="0" applyFill="0" applyBorder="0" applyAlignment="0" applyProtection="0"/>
    <xf numFmtId="0" fontId="47" fillId="20" borderId="0" applyNumberFormat="0" applyBorder="0" applyAlignment="0" applyProtection="0"/>
    <xf numFmtId="0" fontId="0" fillId="0" borderId="0"/>
    <xf numFmtId="0" fontId="53" fillId="0" borderId="0"/>
    <xf numFmtId="0" fontId="54" fillId="0" borderId="0"/>
    <xf numFmtId="0" fontId="46" fillId="19" borderId="0" applyNumberFormat="0" applyBorder="0" applyAlignment="0" applyProtection="0"/>
    <xf numFmtId="0" fontId="52" fillId="0" borderId="0" applyNumberFormat="0" applyFill="0" applyBorder="0" applyAlignment="0" applyProtection="0"/>
    <xf numFmtId="0" fontId="0" fillId="14" borderId="43" applyNumberFormat="0" applyFont="0" applyAlignment="0" applyProtection="0"/>
    <xf numFmtId="0" fontId="43" fillId="0" borderId="50" applyNumberFormat="0" applyFill="0" applyAlignment="0" applyProtection="0"/>
    <xf numFmtId="0" fontId="33" fillId="0" borderId="0" applyNumberFormat="0" applyFill="0" applyBorder="0" applyAlignment="0" applyProtection="0"/>
    <xf numFmtId="0" fontId="45" fillId="18" borderId="0" applyNumberFormat="0" applyBorder="0" applyAlignment="0" applyProtection="0"/>
  </cellStyleXfs>
  <cellXfs count="28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Fill="1" applyBorder="1" applyAlignment="1">
      <alignment horizontal="justify" vertical="center" wrapText="1"/>
    </xf>
    <xf numFmtId="176" fontId="2" fillId="0" borderId="1" xfId="1" applyFont="1" applyBorder="1" applyAlignment="1">
      <alignment vertical="center" wrapText="1"/>
    </xf>
    <xf numFmtId="176" fontId="0" fillId="0" borderId="0" xfId="1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 wrapText="1"/>
    </xf>
    <xf numFmtId="177" fontId="7" fillId="0" borderId="8" xfId="0" applyNumberFormat="1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/>
    <xf numFmtId="177" fontId="8" fillId="0" borderId="1" xfId="0" applyNumberFormat="1" applyFont="1" applyBorder="1"/>
    <xf numFmtId="0" fontId="10" fillId="6" borderId="9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11" fillId="7" borderId="5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top" wrapText="1"/>
    </xf>
    <xf numFmtId="0" fontId="11" fillId="10" borderId="1" xfId="0" applyFont="1" applyFill="1" applyBorder="1" applyAlignment="1">
      <alignment horizontal="center" vertical="top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178" fontId="7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1" fillId="0" borderId="19" xfId="0" applyFont="1" applyBorder="1" applyAlignment="1"/>
    <xf numFmtId="0" fontId="11" fillId="0" borderId="20" xfId="0" applyFont="1" applyBorder="1" applyAlignment="1"/>
    <xf numFmtId="0" fontId="10" fillId="8" borderId="21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179" fontId="0" fillId="0" borderId="1" xfId="1" applyNumberFormat="1" applyFont="1" applyBorder="1" applyAlignment="1">
      <alignment horizontal="center"/>
    </xf>
    <xf numFmtId="179" fontId="13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9" fontId="0" fillId="0" borderId="1" xfId="1" applyNumberFormat="1" applyFont="1" applyBorder="1" applyAlignment="1"/>
    <xf numFmtId="0" fontId="0" fillId="0" borderId="22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4" xfId="0" applyBorder="1"/>
    <xf numFmtId="180" fontId="0" fillId="0" borderId="0" xfId="0" applyNumberFormat="1"/>
    <xf numFmtId="0" fontId="11" fillId="0" borderId="1" xfId="0" applyFont="1" applyBorder="1" applyAlignment="1"/>
    <xf numFmtId="0" fontId="10" fillId="8" borderId="1" xfId="0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0" fontId="11" fillId="0" borderId="23" xfId="0" applyFont="1" applyBorder="1" applyAlignment="1"/>
    <xf numFmtId="0" fontId="11" fillId="0" borderId="0" xfId="0" applyFont="1" applyAlignment="1"/>
    <xf numFmtId="0" fontId="10" fillId="8" borderId="24" xfId="0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0" fillId="9" borderId="24" xfId="0" applyFont="1" applyFill="1" applyBorder="1" applyAlignment="1">
      <alignment horizontal="center" vertical="center"/>
    </xf>
    <xf numFmtId="0" fontId="0" fillId="0" borderId="30" xfId="0" applyBorder="1"/>
    <xf numFmtId="0" fontId="1" fillId="0" borderId="16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2" fontId="7" fillId="0" borderId="25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7" fillId="0" borderId="27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180" fontId="0" fillId="0" borderId="1" xfId="0" applyNumberFormat="1" applyBorder="1"/>
    <xf numFmtId="2" fontId="0" fillId="0" borderId="1" xfId="0" applyNumberFormat="1" applyBorder="1"/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11" borderId="17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76" fontId="0" fillId="0" borderId="0" xfId="1" applyFont="1" applyBorder="1" applyAlignment="1">
      <alignment horizontal="center" vertical="center"/>
    </xf>
    <xf numFmtId="176" fontId="0" fillId="0" borderId="3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14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vertical="center"/>
    </xf>
    <xf numFmtId="4" fontId="16" fillId="0" borderId="30" xfId="0" applyNumberFormat="1" applyFont="1" applyBorder="1" applyAlignment="1">
      <alignment vertical="center"/>
    </xf>
    <xf numFmtId="4" fontId="2" fillId="0" borderId="30" xfId="0" applyNumberFormat="1" applyFont="1" applyBorder="1" applyAlignment="1">
      <alignment vertical="center"/>
    </xf>
    <xf numFmtId="0" fontId="16" fillId="0" borderId="30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30" xfId="0" applyFont="1" applyBorder="1" applyAlignment="1">
      <alignment vertical="center"/>
    </xf>
    <xf numFmtId="0" fontId="0" fillId="0" borderId="40" xfId="0" applyBorder="1" applyAlignment="1">
      <alignment horizontal="center"/>
    </xf>
    <xf numFmtId="0" fontId="0" fillId="11" borderId="25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6" fillId="0" borderId="0" xfId="0" applyFont="1"/>
    <xf numFmtId="0" fontId="19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20" fillId="2" borderId="5" xfId="0" applyNumberFormat="1" applyFont="1" applyFill="1" applyBorder="1" applyAlignment="1">
      <alignment horizontal="center" vertical="center"/>
    </xf>
    <xf numFmtId="49" fontId="20" fillId="2" borderId="6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20" fillId="12" borderId="1" xfId="0" applyNumberFormat="1" applyFont="1" applyFill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5" borderId="10" xfId="0" applyNumberFormat="1" applyFont="1" applyFill="1" applyBorder="1" applyAlignment="1">
      <alignment horizontal="center" vertical="center"/>
    </xf>
    <xf numFmtId="49" fontId="11" fillId="5" borderId="13" xfId="0" applyNumberFormat="1" applyFont="1" applyFill="1" applyBorder="1" applyAlignment="1">
      <alignment horizontal="center" vertical="center"/>
    </xf>
    <xf numFmtId="181" fontId="0" fillId="0" borderId="1" xfId="1" applyNumberFormat="1" applyFont="1" applyBorder="1" applyAlignment="1">
      <alignment horizontal="center" vertical="center"/>
    </xf>
    <xf numFmtId="176" fontId="0" fillId="0" borderId="0" xfId="1" applyFont="1" applyAlignment="1">
      <alignment horizontal="center"/>
    </xf>
    <xf numFmtId="0" fontId="19" fillId="2" borderId="11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49" fontId="11" fillId="0" borderId="7" xfId="0" applyNumberFormat="1" applyFont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6" borderId="41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181" fontId="0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181" fontId="0" fillId="0" borderId="0" xfId="1" applyNumberFormat="1" applyFont="1" applyFill="1" applyBorder="1" applyAlignment="1">
      <alignment horizontal="center"/>
    </xf>
    <xf numFmtId="176" fontId="0" fillId="0" borderId="0" xfId="0" applyNumberFormat="1" applyFill="1"/>
    <xf numFmtId="0" fontId="11" fillId="13" borderId="6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6" borderId="42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7" borderId="9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9" fillId="7" borderId="41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Fill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176" fontId="0" fillId="0" borderId="1" xfId="1" applyFont="1" applyFill="1" applyBorder="1" applyAlignment="1">
      <alignment horizontal="center" vertical="center"/>
    </xf>
    <xf numFmtId="176" fontId="0" fillId="0" borderId="0" xfId="1" applyFont="1" applyFill="1"/>
    <xf numFmtId="182" fontId="0" fillId="0" borderId="1" xfId="0" applyNumberFormat="1" applyFill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7" borderId="42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183" fontId="0" fillId="0" borderId="1" xfId="1" applyNumberFormat="1" applyFont="1" applyBorder="1" applyAlignment="1">
      <alignment horizontal="center" vertical="center"/>
    </xf>
    <xf numFmtId="184" fontId="0" fillId="0" borderId="1" xfId="1" applyNumberFormat="1" applyFont="1" applyBorder="1" applyAlignment="1">
      <alignment horizontal="center" vertical="center"/>
    </xf>
    <xf numFmtId="184" fontId="0" fillId="0" borderId="0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wrapText="1"/>
    </xf>
    <xf numFmtId="184" fontId="0" fillId="0" borderId="0" xfId="1" applyNumberFormat="1" applyFont="1" applyAlignment="1">
      <alignment horizontal="center" vertical="center"/>
    </xf>
    <xf numFmtId="184" fontId="6" fillId="0" borderId="1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0" borderId="0" xfId="0" applyFont="1" applyBorder="1"/>
    <xf numFmtId="0" fontId="5" fillId="0" borderId="1" xfId="0" applyFont="1" applyBorder="1" applyAlignment="1">
      <alignment horizontal="center" vertical="top" wrapText="1"/>
    </xf>
    <xf numFmtId="184" fontId="0" fillId="0" borderId="1" xfId="1" applyNumberFormat="1" applyFont="1" applyBorder="1" applyAlignment="1">
      <alignment horizontal="center" vertical="center" wrapText="1"/>
    </xf>
    <xf numFmtId="0" fontId="22" fillId="6" borderId="0" xfId="0" applyFont="1" applyFill="1" applyBorder="1"/>
    <xf numFmtId="0" fontId="0" fillId="6" borderId="0" xfId="0" applyFill="1"/>
    <xf numFmtId="0" fontId="23" fillId="0" borderId="0" xfId="0" applyFont="1"/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25" fillId="0" borderId="1" xfId="0" applyFont="1" applyBorder="1" applyAlignment="1">
      <alignment wrapText="1"/>
    </xf>
    <xf numFmtId="0" fontId="0" fillId="0" borderId="0" xfId="0" applyFill="1"/>
    <xf numFmtId="0" fontId="0" fillId="0" borderId="1" xfId="0" applyFill="1" applyBorder="1" applyAlignment="1">
      <alignment wrapText="1"/>
    </xf>
    <xf numFmtId="0" fontId="0" fillId="0" borderId="1" xfId="0" applyFill="1" applyBorder="1"/>
    <xf numFmtId="49" fontId="0" fillId="0" borderId="5" xfId="0" applyNumberFormat="1" applyBorder="1" applyAlignment="1">
      <alignment horizontal="center" vertical="center"/>
    </xf>
    <xf numFmtId="0" fontId="11" fillId="0" borderId="1" xfId="0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" xfId="0" applyFont="1" applyBorder="1"/>
    <xf numFmtId="0" fontId="0" fillId="0" borderId="0" xfId="0" applyAlignment="1">
      <alignment horizontal="center" vertical="center"/>
    </xf>
    <xf numFmtId="0" fontId="26" fillId="9" borderId="5" xfId="0" applyFont="1" applyFill="1" applyBorder="1" applyAlignment="1">
      <alignment horizontal="center" vertical="center" wrapText="1"/>
    </xf>
    <xf numFmtId="0" fontId="26" fillId="9" borderId="6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wrapText="1"/>
    </xf>
    <xf numFmtId="0" fontId="28" fillId="0" borderId="1" xfId="0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 wrapText="1"/>
    </xf>
    <xf numFmtId="0" fontId="29" fillId="0" borderId="1" xfId="0" applyFont="1" applyFill="1" applyBorder="1" applyAlignment="1">
      <alignment horizontal="center"/>
    </xf>
  </cellXfs>
  <cellStyles count="9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Акцент1" xfId="49"/>
    <cellStyle name="20% - Акцент2" xfId="50"/>
    <cellStyle name="20% - Акцент3" xfId="51"/>
    <cellStyle name="20% - Акцент4" xfId="52"/>
    <cellStyle name="20% - Акцент5" xfId="53"/>
    <cellStyle name="20% - Акцент6" xfId="54"/>
    <cellStyle name="40% - Акцент1" xfId="55"/>
    <cellStyle name="40% - Акцент2" xfId="56"/>
    <cellStyle name="40% - Акцент3" xfId="57"/>
    <cellStyle name="40% - Акцент4" xfId="58"/>
    <cellStyle name="40% - Акцент5" xfId="59"/>
    <cellStyle name="40% - Акцент6" xfId="60"/>
    <cellStyle name="60% - Акцент1" xfId="61"/>
    <cellStyle name="60% - Акцент2" xfId="62"/>
    <cellStyle name="60% - Акцент3" xfId="63"/>
    <cellStyle name="60% - Акцент4" xfId="64"/>
    <cellStyle name="60% - Акцент5" xfId="65"/>
    <cellStyle name="60% - Акцент6" xfId="66"/>
    <cellStyle name="Explanatory Text" xfId="67"/>
    <cellStyle name="Акцент1" xfId="68"/>
    <cellStyle name="Акцент2" xfId="69"/>
    <cellStyle name="Акцент3" xfId="70"/>
    <cellStyle name="Акцент4" xfId="71"/>
    <cellStyle name="Акцент5" xfId="72"/>
    <cellStyle name="Акцент6" xfId="73"/>
    <cellStyle name="Ввод " xfId="74"/>
    <cellStyle name="Вывод" xfId="75"/>
    <cellStyle name="Вычисление" xfId="76"/>
    <cellStyle name="Заголовок 1" xfId="77"/>
    <cellStyle name="Заголовок 2" xfId="78"/>
    <cellStyle name="Заголовок 3" xfId="79"/>
    <cellStyle name="Заголовок 4" xfId="80"/>
    <cellStyle name="Итог" xfId="81"/>
    <cellStyle name="Контрольная ячейка" xfId="82"/>
    <cellStyle name="Название" xfId="83"/>
    <cellStyle name="Нейтральный" xfId="84"/>
    <cellStyle name="Обычный 2" xfId="85"/>
    <cellStyle name="Обычный 3" xfId="86"/>
    <cellStyle name="Обычный 4" xfId="87"/>
    <cellStyle name="Плохой" xfId="88"/>
    <cellStyle name="Пояснение" xfId="89"/>
    <cellStyle name="Примечание" xfId="90"/>
    <cellStyle name="Связанная ячейка" xfId="91"/>
    <cellStyle name="Текст предупреждения" xfId="92"/>
    <cellStyle name="Хороший" xfId="9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'Расходы на ед.пр'!$G$20</c:f>
              <c:strCache>
                <c:ptCount val="1"/>
                <c:pt idx="0">
                  <c:v>кВт/м2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'Расходы на ед.пр'!$G$21:$G$23</c:f>
              <c:numCache>
                <c:formatCode>General</c:formatCode>
                <c:ptCount val="3"/>
                <c:pt idx="0">
                  <c:v>0.534103212</c:v>
                </c:pt>
                <c:pt idx="1">
                  <c:v>0.612679793</c:v>
                </c:pt>
                <c:pt idx="2">
                  <c:v>0.745497667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8063024"/>
        <c:axId val="428065648"/>
      </c:lineChart>
      <c:catAx>
        <c:axId val="42806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065648"/>
        <c:crosses val="autoZero"/>
        <c:auto val="1"/>
        <c:lblAlgn val="ctr"/>
        <c:lblOffset val="100"/>
        <c:noMultiLvlLbl val="0"/>
      </c:catAx>
      <c:valAx>
        <c:axId val="4280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06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e246ebc-6d4e-4c2a-8c3b-82d87a2eeb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342900</xdr:colOff>
      <xdr:row>23</xdr:row>
      <xdr:rowOff>168729</xdr:rowOff>
    </xdr:from>
    <xdr:to>
      <xdr:col>8</xdr:col>
      <xdr:colOff>375557</xdr:colOff>
      <xdr:row>36</xdr:row>
      <xdr:rowOff>157843</xdr:rowOff>
    </xdr:to>
    <xdr:graphicFrame>
      <xdr:nvGraphicFramePr>
        <xdr:cNvPr id="3" name="Диаграмма 2"/>
        <xdr:cNvGraphicFramePr/>
      </xdr:nvGraphicFramePr>
      <xdr:xfrm>
        <a:off x="5265420" y="5123815"/>
        <a:ext cx="5892165" cy="3005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anhon/Desktop/&#1093;&#1072;&#1084;&#1082;&#1086;&#1088;%20&#1085;&#1091;&#1088;/E:/Documents%20and%20Settings/Admin/&#1052;&#1086;&#1080;%20&#1076;&#1086;&#1082;&#1091;&#1084;&#1077;&#1085;&#1090;&#1099;/&#1050;&#1085;&#1080;&#1075;&#1072;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Книга1"/>
      <sheetName val="Раб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13"/>
  <sheetViews>
    <sheetView workbookViewId="0">
      <selection activeCell="H3" sqref="H3"/>
    </sheetView>
  </sheetViews>
  <sheetFormatPr defaultColWidth="9" defaultRowHeight="14" outlineLevelCol="2"/>
  <cols>
    <col min="1" max="1" width="6.57352941176471" style="278" customWidth="1"/>
    <col min="2" max="2" width="50.8529411764706" customWidth="1"/>
    <col min="3" max="3" width="52.8529411764706" customWidth="1"/>
  </cols>
  <sheetData>
    <row r="1" ht="43.15" customHeight="1" spans="1:3">
      <c r="A1" s="19" t="s">
        <v>0</v>
      </c>
      <c r="B1" s="279" t="s">
        <v>1</v>
      </c>
      <c r="C1" s="280"/>
    </row>
    <row r="2" ht="40.9" customHeight="1" spans="1:3">
      <c r="A2" s="19">
        <v>1</v>
      </c>
      <c r="B2" s="281" t="s">
        <v>2</v>
      </c>
      <c r="C2" s="282" t="s">
        <v>3</v>
      </c>
    </row>
    <row r="3" ht="32.45" customHeight="1" spans="1:3">
      <c r="A3" s="19">
        <v>2</v>
      </c>
      <c r="B3" s="281" t="s">
        <v>4</v>
      </c>
      <c r="C3" s="282" t="s">
        <v>5</v>
      </c>
    </row>
    <row r="4" ht="28.15" customHeight="1" spans="1:3">
      <c r="A4" s="19">
        <v>3</v>
      </c>
      <c r="B4" s="283" t="s">
        <v>6</v>
      </c>
      <c r="C4" s="284" t="s">
        <v>7</v>
      </c>
    </row>
    <row r="5" ht="28.15" customHeight="1" spans="1:3">
      <c r="A5" s="19">
        <v>4</v>
      </c>
      <c r="B5" s="283" t="s">
        <v>8</v>
      </c>
      <c r="C5" s="285" t="s">
        <v>9</v>
      </c>
    </row>
    <row r="6" ht="28.15" customHeight="1" spans="1:3">
      <c r="A6" s="19">
        <v>5</v>
      </c>
      <c r="B6" s="283" t="s">
        <v>10</v>
      </c>
      <c r="C6" s="285" t="s">
        <v>11</v>
      </c>
    </row>
    <row r="7" ht="28.15" customHeight="1" spans="1:3">
      <c r="A7" s="19">
        <v>6</v>
      </c>
      <c r="B7" s="283" t="s">
        <v>12</v>
      </c>
      <c r="C7" s="285" t="s">
        <v>13</v>
      </c>
    </row>
    <row r="8" ht="28.15" customHeight="1" spans="1:3">
      <c r="A8" s="19">
        <v>7</v>
      </c>
      <c r="B8" s="283" t="s">
        <v>14</v>
      </c>
      <c r="C8" s="285">
        <v>974709981</v>
      </c>
    </row>
    <row r="9" ht="28.15" customHeight="1" spans="1:3">
      <c r="A9" s="19">
        <v>8</v>
      </c>
      <c r="B9" s="283" t="s">
        <v>15</v>
      </c>
      <c r="C9" s="286" t="s">
        <v>16</v>
      </c>
    </row>
    <row r="10" ht="28.15" customHeight="1" spans="1:3">
      <c r="A10" s="19">
        <v>9</v>
      </c>
      <c r="B10" s="283" t="s">
        <v>17</v>
      </c>
      <c r="C10" s="285">
        <v>142</v>
      </c>
    </row>
    <row r="11" ht="28.15" customHeight="1" spans="1:3">
      <c r="A11" s="19">
        <v>10</v>
      </c>
      <c r="B11" s="283" t="s">
        <v>18</v>
      </c>
      <c r="C11" s="286" t="s">
        <v>19</v>
      </c>
    </row>
    <row r="12" ht="28.15" customHeight="1" spans="1:3">
      <c r="A12" s="19">
        <v>11</v>
      </c>
      <c r="B12" s="283" t="s">
        <v>20</v>
      </c>
      <c r="C12" s="285">
        <v>8725</v>
      </c>
    </row>
    <row r="13" ht="28.15" customHeight="1" spans="1:3">
      <c r="A13" s="19">
        <v>12</v>
      </c>
      <c r="B13" s="283" t="s">
        <v>21</v>
      </c>
      <c r="C13" s="285">
        <f>(25*101.5*8)+(63*62*12)+(30*60*8)+(15*15*3)+(12*40*3)</f>
        <v>83687</v>
      </c>
    </row>
  </sheetData>
  <mergeCells count="1">
    <mergeCell ref="B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F31"/>
  <sheetViews>
    <sheetView workbookViewId="0">
      <selection activeCell="H13" sqref="H13"/>
    </sheetView>
  </sheetViews>
  <sheetFormatPr defaultColWidth="9" defaultRowHeight="14" outlineLevelCol="5"/>
  <cols>
    <col min="1" max="1" width="4.57352941176471" customWidth="1"/>
    <col min="2" max="2" width="41" customWidth="1"/>
    <col min="3" max="3" width="32.4264705882353" customWidth="1"/>
    <col min="4" max="4" width="28.7132352941176" customWidth="1"/>
    <col min="6" max="6" width="14.5735294117647" customWidth="1"/>
  </cols>
  <sheetData>
    <row r="1" ht="30.6" customHeight="1" spans="1:4">
      <c r="A1" s="263" t="s">
        <v>22</v>
      </c>
      <c r="B1" s="112"/>
      <c r="C1" s="112"/>
      <c r="D1" s="264"/>
    </row>
    <row r="2" ht="16.8" spans="1:4">
      <c r="A2" s="265" t="s">
        <v>23</v>
      </c>
      <c r="B2" s="266"/>
      <c r="C2" s="266"/>
      <c r="D2" s="267"/>
    </row>
    <row r="3" ht="17" spans="1:4">
      <c r="A3" s="27" t="s">
        <v>24</v>
      </c>
      <c r="B3" s="268" t="s">
        <v>25</v>
      </c>
      <c r="C3" s="269" t="str">
        <f>'Общие свединия '!C2</f>
        <v>    ООО « Hаmkor nur savdo»</v>
      </c>
      <c r="D3" s="1"/>
    </row>
    <row r="4" ht="29" spans="1:4">
      <c r="A4" s="27" t="s">
        <v>26</v>
      </c>
      <c r="B4" s="268" t="s">
        <v>27</v>
      </c>
      <c r="C4" s="270" t="str">
        <f>'Общие свединия '!C3</f>
        <v>Ташкентская область, Ахангаран, терр-я промзоны, Б6</v>
      </c>
      <c r="D4" s="1"/>
    </row>
    <row r="5" ht="17" spans="1:4">
      <c r="A5" s="27" t="s">
        <v>28</v>
      </c>
      <c r="B5" s="268" t="s">
        <v>29</v>
      </c>
      <c r="C5" s="271" t="s">
        <v>30</v>
      </c>
      <c r="D5" s="1"/>
    </row>
    <row r="6" ht="17" spans="1:4">
      <c r="A6" s="27" t="s">
        <v>31</v>
      </c>
      <c r="B6" s="268" t="s">
        <v>32</v>
      </c>
      <c r="C6" s="271">
        <v>2019</v>
      </c>
      <c r="D6" s="1"/>
    </row>
    <row r="7" ht="17" spans="1:4">
      <c r="A7" s="27" t="s">
        <v>33</v>
      </c>
      <c r="B7" s="268" t="s">
        <v>34</v>
      </c>
      <c r="C7" s="271">
        <f>'Общие свединия '!C12</f>
        <v>8725</v>
      </c>
      <c r="D7" s="1"/>
    </row>
    <row r="8" ht="17" spans="1:4">
      <c r="A8" s="27" t="s">
        <v>35</v>
      </c>
      <c r="B8" s="268" t="s">
        <v>36</v>
      </c>
      <c r="C8" s="271">
        <f>(15*15*3)+(12*40*3)</f>
        <v>2115</v>
      </c>
      <c r="D8" s="1"/>
    </row>
    <row r="9" ht="17" spans="1:4">
      <c r="A9" s="27" t="s">
        <v>37</v>
      </c>
      <c r="B9" s="268" t="s">
        <v>38</v>
      </c>
      <c r="C9" s="271">
        <v>1</v>
      </c>
      <c r="D9" s="1"/>
    </row>
    <row r="10" ht="16.8" spans="1:4">
      <c r="A10" s="265" t="s">
        <v>39</v>
      </c>
      <c r="B10" s="266"/>
      <c r="C10" s="266"/>
      <c r="D10" s="267"/>
    </row>
    <row r="11" ht="28.15" customHeight="1" spans="1:4">
      <c r="A11" s="27" t="s">
        <v>40</v>
      </c>
      <c r="B11" s="268" t="s">
        <v>41</v>
      </c>
      <c r="C11" s="271">
        <v>30.13</v>
      </c>
      <c r="D11" s="1"/>
    </row>
    <row r="12" ht="31.9" customHeight="1" spans="1:4">
      <c r="A12" s="27" t="s">
        <v>42</v>
      </c>
      <c r="B12" s="268" t="s">
        <v>43</v>
      </c>
      <c r="C12" s="271">
        <v>0.064</v>
      </c>
      <c r="D12" s="1"/>
    </row>
    <row r="13" ht="44.45" customHeight="1" spans="1:4">
      <c r="A13" s="27" t="s">
        <v>44</v>
      </c>
      <c r="B13" s="268" t="s">
        <v>45</v>
      </c>
      <c r="C13" s="271">
        <v>3.2e-5</v>
      </c>
      <c r="D13" s="1"/>
    </row>
    <row r="14" customFormat="1" ht="52.15" customHeight="1" spans="1:4">
      <c r="A14" s="272" t="s">
        <v>46</v>
      </c>
      <c r="B14" s="268" t="s">
        <v>47</v>
      </c>
      <c r="C14" s="271">
        <v>34.21</v>
      </c>
      <c r="D14" s="1" t="s">
        <v>48</v>
      </c>
    </row>
    <row r="15" ht="26.45" customHeight="1" spans="1:4">
      <c r="A15" s="265" t="s">
        <v>49</v>
      </c>
      <c r="B15" s="266"/>
      <c r="C15" s="266"/>
      <c r="D15" s="267"/>
    </row>
    <row r="16" ht="17" spans="1:4">
      <c r="A16" s="27" t="s">
        <v>50</v>
      </c>
      <c r="B16" s="268" t="s">
        <v>51</v>
      </c>
      <c r="C16" s="271">
        <f>1902*0.1*24*140</f>
        <v>639072</v>
      </c>
      <c r="D16" s="273"/>
    </row>
    <row r="17" ht="17" spans="1:4">
      <c r="A17" s="27" t="s">
        <v>52</v>
      </c>
      <c r="B17" s="268" t="s">
        <v>53</v>
      </c>
      <c r="C17" s="271">
        <f>C16*0.00086</f>
        <v>549.60192</v>
      </c>
      <c r="D17" s="1"/>
    </row>
    <row r="18" ht="17" spans="1:6">
      <c r="A18" s="27" t="s">
        <v>54</v>
      </c>
      <c r="B18" s="268" t="s">
        <v>55</v>
      </c>
      <c r="C18" s="269">
        <v>1307.109</v>
      </c>
      <c r="D18" s="1" t="s">
        <v>56</v>
      </c>
      <c r="F18" s="14"/>
    </row>
    <row r="19" ht="17" spans="1:4">
      <c r="A19" s="27" t="s">
        <v>57</v>
      </c>
      <c r="B19" s="268" t="s">
        <v>58</v>
      </c>
      <c r="C19" s="271">
        <v>455.549</v>
      </c>
      <c r="D19" s="1" t="s">
        <v>56</v>
      </c>
    </row>
    <row r="20" ht="17" spans="1:4">
      <c r="A20" s="27" t="s">
        <v>59</v>
      </c>
      <c r="B20" s="268" t="s">
        <v>60</v>
      </c>
      <c r="C20" s="271" t="s">
        <v>61</v>
      </c>
      <c r="D20" s="1"/>
    </row>
    <row r="21" ht="16.8" spans="1:4">
      <c r="A21" s="274" t="s">
        <v>62</v>
      </c>
      <c r="B21" s="275"/>
      <c r="C21" s="275"/>
      <c r="D21" s="276"/>
    </row>
    <row r="22" ht="16.8" spans="1:4">
      <c r="A22" s="27" t="s">
        <v>63</v>
      </c>
      <c r="B22" s="277" t="s">
        <v>64</v>
      </c>
      <c r="C22" s="277" t="s">
        <v>65</v>
      </c>
      <c r="D22" s="277" t="s">
        <v>66</v>
      </c>
    </row>
    <row r="23" spans="1:4">
      <c r="A23" s="27" t="s">
        <v>67</v>
      </c>
      <c r="B23" s="1" t="s">
        <v>68</v>
      </c>
      <c r="C23" s="1" t="s">
        <v>69</v>
      </c>
      <c r="D23" s="271">
        <f>C17*0.9</f>
        <v>494.641728</v>
      </c>
    </row>
    <row r="24" spans="1:4">
      <c r="A24" s="27" t="s">
        <v>70</v>
      </c>
      <c r="B24" s="1" t="s">
        <v>71</v>
      </c>
      <c r="C24" s="1" t="s">
        <v>69</v>
      </c>
      <c r="D24" s="271">
        <f>C17*0.1</f>
        <v>54.960192</v>
      </c>
    </row>
    <row r="25" spans="1:4">
      <c r="A25" s="27" t="s">
        <v>72</v>
      </c>
      <c r="B25" s="1" t="s">
        <v>73</v>
      </c>
      <c r="C25" s="1" t="s">
        <v>74</v>
      </c>
      <c r="D25" s="271">
        <v>4.087</v>
      </c>
    </row>
    <row r="26" spans="1:4">
      <c r="A26" s="27" t="s">
        <v>75</v>
      </c>
      <c r="B26" s="1" t="s">
        <v>76</v>
      </c>
      <c r="C26" s="1" t="s">
        <v>74</v>
      </c>
      <c r="D26" s="271">
        <v>15.873</v>
      </c>
    </row>
    <row r="27" spans="1:4">
      <c r="A27" s="27" t="s">
        <v>77</v>
      </c>
      <c r="B27" s="1" t="s">
        <v>78</v>
      </c>
      <c r="C27" s="1" t="s">
        <v>74</v>
      </c>
      <c r="D27" s="271">
        <v>10.8</v>
      </c>
    </row>
    <row r="28" ht="16.8" spans="1:4">
      <c r="A28" s="265" t="s">
        <v>79</v>
      </c>
      <c r="B28" s="266"/>
      <c r="C28" s="266"/>
      <c r="D28" s="267"/>
    </row>
    <row r="29" ht="17" spans="1:4">
      <c r="A29" s="27" t="s">
        <v>80</v>
      </c>
      <c r="B29" s="268" t="s">
        <v>81</v>
      </c>
      <c r="C29" s="1"/>
      <c r="D29" s="1"/>
    </row>
    <row r="30" ht="17" spans="1:4">
      <c r="A30" s="27" t="s">
        <v>82</v>
      </c>
      <c r="B30" s="268" t="s">
        <v>83</v>
      </c>
      <c r="C30" s="1"/>
      <c r="D30" s="1"/>
    </row>
    <row r="31" ht="17" spans="1:4">
      <c r="A31" s="27" t="s">
        <v>84</v>
      </c>
      <c r="B31" s="268" t="s">
        <v>85</v>
      </c>
      <c r="C31" s="1"/>
      <c r="D31" s="1"/>
    </row>
  </sheetData>
  <mergeCells count="6">
    <mergeCell ref="A1:D1"/>
    <mergeCell ref="A2:D2"/>
    <mergeCell ref="A10:D10"/>
    <mergeCell ref="A15:D15"/>
    <mergeCell ref="A21:D21"/>
    <mergeCell ref="A28:D28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81"/>
  <sheetViews>
    <sheetView topLeftCell="A25" workbookViewId="0">
      <selection activeCell="K43" sqref="K43"/>
    </sheetView>
  </sheetViews>
  <sheetFormatPr defaultColWidth="9" defaultRowHeight="14"/>
  <cols>
    <col min="1" max="1" width="4.57352941176471" customWidth="1"/>
    <col min="2" max="2" width="35.1397058823529" customWidth="1"/>
    <col min="3" max="3" width="17.7132352941176" customWidth="1"/>
    <col min="4" max="4" width="19.4264705882353" customWidth="1"/>
    <col min="5" max="5" width="20" customWidth="1"/>
    <col min="6" max="6" width="17.7132352941176" customWidth="1"/>
    <col min="7" max="7" width="15.4264705882353" customWidth="1"/>
    <col min="8" max="8" width="11.5735294117647" customWidth="1"/>
    <col min="10" max="10" width="10.2867647058824" customWidth="1"/>
    <col min="12" max="12" width="11.4264705882353" customWidth="1"/>
    <col min="13" max="13" width="13.1397058823529" customWidth="1"/>
    <col min="16" max="16" width="12.2867647058824" customWidth="1"/>
    <col min="18" max="18" width="12.4264705882353" customWidth="1"/>
  </cols>
  <sheetData>
    <row r="1" ht="20.4" hidden="1" spans="2:2">
      <c r="B1" s="240" t="s">
        <v>86</v>
      </c>
    </row>
    <row r="2" ht="16.8" hidden="1" spans="2:2">
      <c r="B2" s="241" t="s">
        <v>87</v>
      </c>
    </row>
    <row r="3" ht="51" hidden="1" spans="1:6">
      <c r="A3" s="57">
        <v>1</v>
      </c>
      <c r="B3" s="88" t="s">
        <v>88</v>
      </c>
      <c r="C3" s="88" t="s">
        <v>89</v>
      </c>
      <c r="D3" s="242" t="s">
        <v>90</v>
      </c>
      <c r="E3" s="88" t="s">
        <v>91</v>
      </c>
      <c r="F3" s="88" t="s">
        <v>92</v>
      </c>
    </row>
    <row r="4" hidden="1" spans="1:6">
      <c r="A4" s="57">
        <v>2</v>
      </c>
      <c r="B4" s="1" t="s">
        <v>93</v>
      </c>
      <c r="C4" s="243">
        <v>0</v>
      </c>
      <c r="D4" s="244">
        <v>2.8</v>
      </c>
      <c r="E4" s="243">
        <v>25</v>
      </c>
      <c r="F4" s="244">
        <f>C4*E4/D4</f>
        <v>0</v>
      </c>
    </row>
    <row r="5" hidden="1" spans="1:6">
      <c r="A5" s="57">
        <v>3</v>
      </c>
      <c r="B5" s="1" t="s">
        <v>94</v>
      </c>
      <c r="C5" s="243">
        <v>0</v>
      </c>
      <c r="D5" s="244">
        <v>0.6</v>
      </c>
      <c r="E5" s="243">
        <v>1</v>
      </c>
      <c r="F5" s="244">
        <f>C5*E5/D5</f>
        <v>0</v>
      </c>
    </row>
    <row r="6" hidden="1" spans="1:6">
      <c r="A6" s="57">
        <v>4</v>
      </c>
      <c r="B6" s="1" t="s">
        <v>95</v>
      </c>
      <c r="C6" s="243">
        <v>0</v>
      </c>
      <c r="D6" s="244">
        <v>4.5</v>
      </c>
      <c r="E6" s="243">
        <v>25</v>
      </c>
      <c r="F6" s="244">
        <f>C6*E6/D6</f>
        <v>0</v>
      </c>
    </row>
    <row r="7" hidden="1" spans="1:6">
      <c r="A7" s="57">
        <v>5</v>
      </c>
      <c r="B7" s="1" t="s">
        <v>96</v>
      </c>
      <c r="C7" s="243">
        <v>0</v>
      </c>
      <c r="D7" s="244">
        <v>3.5</v>
      </c>
      <c r="E7" s="243">
        <v>5</v>
      </c>
      <c r="F7" s="244">
        <f>C7*E7/D7</f>
        <v>0</v>
      </c>
    </row>
    <row r="8" ht="15" hidden="1" spans="1:6">
      <c r="A8" s="1"/>
      <c r="B8" s="28" t="s">
        <v>97</v>
      </c>
      <c r="C8" s="244"/>
      <c r="D8" s="244"/>
      <c r="E8" s="244"/>
      <c r="F8" s="244"/>
    </row>
    <row r="9" hidden="1" spans="3:6">
      <c r="C9" s="245"/>
      <c r="D9" s="245"/>
      <c r="E9" s="245"/>
      <c r="F9" s="245"/>
    </row>
    <row r="10" hidden="1"/>
    <row r="11" ht="17" hidden="1" spans="2:5">
      <c r="B11" s="246" t="s">
        <v>98</v>
      </c>
      <c r="C11" s="246" t="s">
        <v>99</v>
      </c>
      <c r="D11" s="246" t="s">
        <v>100</v>
      </c>
      <c r="E11" s="254" t="s">
        <v>101</v>
      </c>
    </row>
    <row r="12" hidden="1" spans="2:5">
      <c r="B12" s="57">
        <v>2000</v>
      </c>
      <c r="C12" s="57">
        <v>2.1</v>
      </c>
      <c r="D12" s="57">
        <v>3.2</v>
      </c>
      <c r="E12" s="57">
        <v>0.3</v>
      </c>
    </row>
    <row r="13" hidden="1" spans="2:5">
      <c r="B13" s="57">
        <v>4000</v>
      </c>
      <c r="C13" s="57">
        <v>2.8</v>
      </c>
      <c r="D13" s="57">
        <v>4.2</v>
      </c>
      <c r="E13" s="57">
        <v>0.45</v>
      </c>
    </row>
    <row r="14" hidden="1" spans="2:5">
      <c r="B14" s="57">
        <v>6000</v>
      </c>
      <c r="C14" s="57">
        <v>3.5</v>
      </c>
      <c r="D14" s="57">
        <v>5.2</v>
      </c>
      <c r="E14" s="57">
        <v>0.6</v>
      </c>
    </row>
    <row r="15" hidden="1"/>
    <row r="16" hidden="1"/>
    <row r="17" ht="34" hidden="1" spans="2:6">
      <c r="B17" s="247" t="s">
        <v>102</v>
      </c>
      <c r="C17" s="248"/>
      <c r="D17" s="248"/>
      <c r="E17" s="248"/>
      <c r="F17" s="248"/>
    </row>
    <row r="18" ht="24.6" hidden="1" customHeight="1" spans="1:5">
      <c r="A18" s="1"/>
      <c r="B18" s="88" t="s">
        <v>103</v>
      </c>
      <c r="C18" s="249" t="s">
        <v>104</v>
      </c>
      <c r="D18" s="249" t="s">
        <v>105</v>
      </c>
      <c r="E18" s="249" t="s">
        <v>106</v>
      </c>
    </row>
    <row r="19" hidden="1" spans="1:5">
      <c r="A19" s="57">
        <v>1</v>
      </c>
      <c r="B19" s="1" t="s">
        <v>107</v>
      </c>
      <c r="C19" s="243">
        <v>100</v>
      </c>
      <c r="D19" s="244" t="s">
        <v>108</v>
      </c>
      <c r="E19" s="244"/>
    </row>
    <row r="20" ht="15" hidden="1" spans="1:5">
      <c r="A20" s="57">
        <v>2</v>
      </c>
      <c r="B20" s="28" t="s">
        <v>109</v>
      </c>
      <c r="C20" s="243">
        <v>450</v>
      </c>
      <c r="D20" s="244" t="s">
        <v>69</v>
      </c>
      <c r="E20" s="244"/>
    </row>
    <row r="21" hidden="1" spans="1:5">
      <c r="A21" s="57">
        <v>3</v>
      </c>
      <c r="B21" s="1" t="s">
        <v>110</v>
      </c>
      <c r="C21" s="243">
        <v>2000</v>
      </c>
      <c r="D21" s="244" t="s">
        <v>111</v>
      </c>
      <c r="E21" s="244"/>
    </row>
    <row r="22" hidden="1" spans="1:5">
      <c r="A22" s="57">
        <v>4</v>
      </c>
      <c r="B22" s="1" t="s">
        <v>112</v>
      </c>
      <c r="C22" s="243"/>
      <c r="D22" s="244" t="s">
        <v>113</v>
      </c>
      <c r="E22" s="244" t="s">
        <v>114</v>
      </c>
    </row>
    <row r="23" ht="15" hidden="1" spans="1:5">
      <c r="A23" s="57">
        <v>5</v>
      </c>
      <c r="B23" s="1" t="s">
        <v>115</v>
      </c>
      <c r="C23" s="243">
        <v>85</v>
      </c>
      <c r="D23" s="244" t="s">
        <v>116</v>
      </c>
      <c r="E23" s="255" t="s">
        <v>117</v>
      </c>
    </row>
    <row r="24" ht="15" hidden="1" spans="1:5">
      <c r="A24" s="57">
        <v>6</v>
      </c>
      <c r="B24" s="1" t="s">
        <v>118</v>
      </c>
      <c r="C24" s="244" t="s">
        <v>119</v>
      </c>
      <c r="D24" s="244" t="s">
        <v>120</v>
      </c>
      <c r="E24" s="255" t="s">
        <v>121</v>
      </c>
    </row>
    <row r="26" spans="1:6">
      <c r="A26" s="250"/>
      <c r="B26" s="250"/>
      <c r="C26" s="250"/>
      <c r="D26" s="250"/>
      <c r="E26" s="250"/>
      <c r="F26" s="253"/>
    </row>
    <row r="27" ht="15" spans="1:13">
      <c r="A27" s="251"/>
      <c r="B27" s="251"/>
      <c r="C27" s="251"/>
      <c r="D27" s="251" t="s">
        <v>122</v>
      </c>
      <c r="E27" s="251"/>
      <c r="F27" s="256"/>
      <c r="G27" s="257"/>
      <c r="H27" s="257"/>
      <c r="I27" s="257"/>
      <c r="J27" s="257"/>
      <c r="K27" s="257"/>
      <c r="L27" s="257"/>
      <c r="M27" s="257"/>
    </row>
    <row r="28" ht="51" spans="1:16">
      <c r="A28" s="252" t="s">
        <v>0</v>
      </c>
      <c r="B28" s="252" t="s">
        <v>88</v>
      </c>
      <c r="C28" s="252" t="s">
        <v>123</v>
      </c>
      <c r="D28" s="252" t="s">
        <v>124</v>
      </c>
      <c r="E28" s="252" t="s">
        <v>125</v>
      </c>
      <c r="F28" s="252" t="s">
        <v>126</v>
      </c>
      <c r="G28" s="252" t="s">
        <v>127</v>
      </c>
      <c r="H28" s="252" t="s">
        <v>89</v>
      </c>
      <c r="I28" s="252" t="s">
        <v>128</v>
      </c>
      <c r="J28" s="252" t="s">
        <v>129</v>
      </c>
      <c r="K28" s="252" t="s">
        <v>130</v>
      </c>
      <c r="L28" s="252" t="s">
        <v>131</v>
      </c>
      <c r="M28" s="252" t="s">
        <v>132</v>
      </c>
      <c r="P28" s="258"/>
    </row>
    <row r="29" ht="15" spans="1:13">
      <c r="A29" s="21">
        <v>1</v>
      </c>
      <c r="B29" s="21" t="s">
        <v>133</v>
      </c>
      <c r="C29" s="21" t="s">
        <v>134</v>
      </c>
      <c r="D29" s="21">
        <v>0.38</v>
      </c>
      <c r="E29" s="21">
        <v>0.76</v>
      </c>
      <c r="F29" s="21">
        <f>D29/E29</f>
        <v>0.5</v>
      </c>
      <c r="G29" s="21">
        <v>2.8</v>
      </c>
      <c r="H29" s="21">
        <v>280.8</v>
      </c>
      <c r="I29" s="21">
        <v>16</v>
      </c>
      <c r="J29" s="21">
        <f>H29*I29/F29</f>
        <v>8985.6</v>
      </c>
      <c r="K29" s="259">
        <f>J33/H33</f>
        <v>36.6490566037736</v>
      </c>
      <c r="L29" s="260">
        <v>96</v>
      </c>
      <c r="M29" s="21" t="s">
        <v>61</v>
      </c>
    </row>
    <row r="30" ht="15" spans="1:13">
      <c r="A30" s="21">
        <v>2</v>
      </c>
      <c r="B30" s="21" t="s">
        <v>135</v>
      </c>
      <c r="C30" s="21" t="s">
        <v>136</v>
      </c>
      <c r="D30" s="21">
        <v>0.03</v>
      </c>
      <c r="E30" s="21">
        <v>0.8</v>
      </c>
      <c r="F30" s="21">
        <f>D30/E30</f>
        <v>0.0375</v>
      </c>
      <c r="G30" s="21">
        <v>0.8</v>
      </c>
      <c r="H30" s="21">
        <v>31.2</v>
      </c>
      <c r="I30" s="21">
        <v>16</v>
      </c>
      <c r="J30" s="21">
        <f>H30*I30/F30</f>
        <v>13312</v>
      </c>
      <c r="K30" s="259"/>
      <c r="L30" s="260"/>
      <c r="M30" s="21"/>
    </row>
    <row r="31" ht="15" spans="1:13">
      <c r="A31" s="21">
        <v>3</v>
      </c>
      <c r="B31" s="21" t="s">
        <v>95</v>
      </c>
      <c r="C31" s="21" t="s">
        <v>137</v>
      </c>
      <c r="D31" s="21">
        <v>0.2</v>
      </c>
      <c r="E31" s="21">
        <v>0.3</v>
      </c>
      <c r="F31" s="21">
        <f>D31/E31</f>
        <v>0.666666666666667</v>
      </c>
      <c r="G31" s="21">
        <v>4.7</v>
      </c>
      <c r="H31" s="21">
        <f>12*40</f>
        <v>480</v>
      </c>
      <c r="I31" s="21">
        <v>16</v>
      </c>
      <c r="J31" s="21">
        <f>H31*I31/F31</f>
        <v>11520</v>
      </c>
      <c r="K31" s="259"/>
      <c r="L31" s="260"/>
      <c r="M31" s="21"/>
    </row>
    <row r="32" ht="15" spans="1:13">
      <c r="A32" s="21">
        <v>4</v>
      </c>
      <c r="B32" s="21" t="s">
        <v>138</v>
      </c>
      <c r="C32" s="21" t="s">
        <v>139</v>
      </c>
      <c r="D32" s="21">
        <v>0.15</v>
      </c>
      <c r="E32" s="21">
        <v>0.8</v>
      </c>
      <c r="F32" s="21">
        <f>D32/E32</f>
        <v>0.1875</v>
      </c>
      <c r="G32" s="21">
        <v>3.4</v>
      </c>
      <c r="H32" s="21">
        <f>12*40</f>
        <v>480</v>
      </c>
      <c r="I32" s="21">
        <v>5</v>
      </c>
      <c r="J32" s="21">
        <f>H32*I32/F32</f>
        <v>12800</v>
      </c>
      <c r="K32" s="259"/>
      <c r="L32" s="260"/>
      <c r="M32" s="21"/>
    </row>
    <row r="33" customFormat="1" spans="1:13">
      <c r="A33" s="21"/>
      <c r="B33" s="21"/>
      <c r="C33" s="21"/>
      <c r="D33" s="21"/>
      <c r="E33" s="21"/>
      <c r="F33" s="21"/>
      <c r="G33" s="21"/>
      <c r="H33" s="21">
        <f>SUM(H29:H32)</f>
        <v>1272</v>
      </c>
      <c r="I33" s="21"/>
      <c r="J33" s="21">
        <f>SUM(J29:J32)</f>
        <v>46617.6</v>
      </c>
      <c r="K33" s="259"/>
      <c r="L33" s="260"/>
      <c r="M33" s="21"/>
    </row>
    <row r="34" customFormat="1" spans="1:13">
      <c r="A34" s="250"/>
      <c r="B34" s="250"/>
      <c r="C34" s="250"/>
      <c r="D34" s="250"/>
      <c r="E34" s="250"/>
      <c r="F34" s="250"/>
      <c r="G34" s="250"/>
      <c r="H34" s="250"/>
      <c r="I34" s="250"/>
      <c r="J34" s="21">
        <f>J33/1000</f>
        <v>46.6176</v>
      </c>
      <c r="K34" s="261"/>
      <c r="L34" s="262"/>
      <c r="M34" s="250"/>
    </row>
    <row r="35" customFormat="1" spans="1:13">
      <c r="A35" s="250"/>
      <c r="B35" s="250"/>
      <c r="C35" s="250"/>
      <c r="D35" s="250"/>
      <c r="E35" s="250"/>
      <c r="F35" s="250"/>
      <c r="G35" s="250"/>
      <c r="H35" s="250"/>
      <c r="I35" s="250"/>
      <c r="J35" s="250"/>
      <c r="K35" s="261"/>
      <c r="L35" s="262"/>
      <c r="M35" s="250"/>
    </row>
    <row r="36" ht="15" spans="1:13">
      <c r="A36" s="251"/>
      <c r="B36" s="251"/>
      <c r="C36" s="251"/>
      <c r="D36" s="251" t="s">
        <v>140</v>
      </c>
      <c r="E36" s="251"/>
      <c r="F36" s="256"/>
      <c r="G36" s="257"/>
      <c r="H36" s="257"/>
      <c r="I36" s="257"/>
      <c r="J36" s="257"/>
      <c r="K36" s="257"/>
      <c r="L36" s="257"/>
      <c r="M36" s="257"/>
    </row>
    <row r="37" customFormat="1" ht="51" spans="1:13">
      <c r="A37" s="252" t="s">
        <v>0</v>
      </c>
      <c r="B37" s="252" t="s">
        <v>88</v>
      </c>
      <c r="C37" s="252" t="s">
        <v>123</v>
      </c>
      <c r="D37" s="252" t="s">
        <v>124</v>
      </c>
      <c r="E37" s="252" t="s">
        <v>125</v>
      </c>
      <c r="F37" s="252" t="s">
        <v>126</v>
      </c>
      <c r="G37" s="252" t="s">
        <v>127</v>
      </c>
      <c r="H37" s="252" t="s">
        <v>89</v>
      </c>
      <c r="I37" s="252" t="s">
        <v>128</v>
      </c>
      <c r="J37" s="252" t="s">
        <v>129</v>
      </c>
      <c r="K37" s="252" t="s">
        <v>130</v>
      </c>
      <c r="L37" s="252" t="s">
        <v>131</v>
      </c>
      <c r="M37" s="252" t="s">
        <v>132</v>
      </c>
    </row>
    <row r="38" customFormat="1" ht="25.5" customHeight="1" spans="1:13">
      <c r="A38" s="21">
        <v>1</v>
      </c>
      <c r="B38" s="21" t="s">
        <v>133</v>
      </c>
      <c r="C38" s="21" t="s">
        <v>134</v>
      </c>
      <c r="D38" s="21">
        <v>0.38</v>
      </c>
      <c r="E38" s="21">
        <v>0.76</v>
      </c>
      <c r="F38" s="21">
        <f>D38/E38</f>
        <v>0.5</v>
      </c>
      <c r="G38" s="21">
        <v>2.8</v>
      </c>
      <c r="H38" s="21">
        <v>162</v>
      </c>
      <c r="I38" s="21">
        <v>20</v>
      </c>
      <c r="J38" s="21">
        <f>H38*I38/F38</f>
        <v>6480</v>
      </c>
      <c r="K38" s="259">
        <f>J42/H42</f>
        <v>45.7619047619048</v>
      </c>
      <c r="L38" s="260">
        <v>96</v>
      </c>
      <c r="M38" s="21" t="s">
        <v>61</v>
      </c>
    </row>
    <row r="39" customFormat="1" ht="15" spans="1:13">
      <c r="A39" s="21">
        <v>2</v>
      </c>
      <c r="B39" s="21" t="s">
        <v>135</v>
      </c>
      <c r="C39" s="21" t="s">
        <v>136</v>
      </c>
      <c r="D39" s="21">
        <v>0.03</v>
      </c>
      <c r="E39" s="21">
        <v>0.8</v>
      </c>
      <c r="F39" s="21">
        <f>D39/E39</f>
        <v>0.0375</v>
      </c>
      <c r="G39" s="21">
        <v>0.8</v>
      </c>
      <c r="H39" s="21">
        <v>18</v>
      </c>
      <c r="I39" s="21">
        <v>20</v>
      </c>
      <c r="J39" s="21">
        <f>H39*I39/F39</f>
        <v>9600</v>
      </c>
      <c r="K39" s="259"/>
      <c r="L39" s="260"/>
      <c r="M39" s="21"/>
    </row>
    <row r="40" customFormat="1" ht="15" spans="1:13">
      <c r="A40" s="21">
        <v>3</v>
      </c>
      <c r="B40" s="21" t="s">
        <v>95</v>
      </c>
      <c r="C40" s="21" t="s">
        <v>137</v>
      </c>
      <c r="D40" s="21">
        <v>0.2</v>
      </c>
      <c r="E40" s="21">
        <v>0.3</v>
      </c>
      <c r="F40" s="21">
        <f>D40/E40</f>
        <v>0.666666666666667</v>
      </c>
      <c r="G40" s="21">
        <v>4.7</v>
      </c>
      <c r="H40" s="21">
        <f>15*15</f>
        <v>225</v>
      </c>
      <c r="I40" s="21">
        <v>20</v>
      </c>
      <c r="J40" s="21">
        <f>H40*I40/F40</f>
        <v>6750</v>
      </c>
      <c r="K40" s="259"/>
      <c r="L40" s="260"/>
      <c r="M40" s="21"/>
    </row>
    <row r="41" customFormat="1" ht="15" spans="1:13">
      <c r="A41" s="21">
        <v>4</v>
      </c>
      <c r="B41" s="21" t="s">
        <v>138</v>
      </c>
      <c r="C41" s="21" t="s">
        <v>139</v>
      </c>
      <c r="D41" s="21">
        <v>0.15</v>
      </c>
      <c r="E41" s="21">
        <v>0.8</v>
      </c>
      <c r="F41" s="21">
        <f>D41/E41</f>
        <v>0.1875</v>
      </c>
      <c r="G41" s="21">
        <v>3.4</v>
      </c>
      <c r="H41" s="21">
        <f>15*15</f>
        <v>225</v>
      </c>
      <c r="I41" s="21">
        <v>5</v>
      </c>
      <c r="J41" s="21">
        <f>H41*I41/F41</f>
        <v>6000</v>
      </c>
      <c r="K41" s="259"/>
      <c r="L41" s="260"/>
      <c r="M41" s="21"/>
    </row>
    <row r="42" customFormat="1" spans="1:13">
      <c r="A42" s="21"/>
      <c r="B42" s="21"/>
      <c r="C42" s="21"/>
      <c r="D42" s="21"/>
      <c r="E42" s="21"/>
      <c r="F42" s="21"/>
      <c r="G42" s="21"/>
      <c r="H42" s="21">
        <f>SUM(H38:H41)</f>
        <v>630</v>
      </c>
      <c r="I42" s="21"/>
      <c r="J42" s="21">
        <f>SUM(J38:J41)</f>
        <v>28830</v>
      </c>
      <c r="K42" s="259"/>
      <c r="L42" s="260"/>
      <c r="M42" s="21"/>
    </row>
    <row r="43" customFormat="1" spans="1:10">
      <c r="A43" s="250"/>
      <c r="B43" s="250"/>
      <c r="C43" s="250"/>
      <c r="D43" s="250"/>
      <c r="E43" s="250"/>
      <c r="F43" s="253"/>
      <c r="J43" s="209">
        <f>J42/1000</f>
        <v>28.83</v>
      </c>
    </row>
    <row r="44" customFormat="1" spans="1:1">
      <c r="A44" s="253"/>
    </row>
    <row r="45" customFormat="1"/>
    <row r="46" customFormat="1" ht="12.75" customHeight="1"/>
    <row r="47" customFormat="1"/>
    <row r="48" customFormat="1" ht="22" spans="8:8">
      <c r="H48" s="25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 ht="30" customHeight="1"/>
    <row r="69" customFormat="1" ht="29.45" customHeight="1"/>
    <row r="70" customFormat="1"/>
    <row r="71" customFormat="1"/>
    <row r="80" ht="30" customHeight="1"/>
    <row r="81" ht="25.15" customHeight="1"/>
  </sheetData>
  <mergeCells count="7">
    <mergeCell ref="B1:F1"/>
    <mergeCell ref="K29:K33"/>
    <mergeCell ref="K38:K42"/>
    <mergeCell ref="L29:L33"/>
    <mergeCell ref="L38:L42"/>
    <mergeCell ref="M29:M33"/>
    <mergeCell ref="M38:M42"/>
  </mergeCells>
  <pageMargins left="0.7" right="0.7" top="0.75" bottom="0.75" header="0.3" footer="0.3"/>
  <pageSetup paperSize="9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50"/>
  <sheetViews>
    <sheetView topLeftCell="A3" workbookViewId="0">
      <selection activeCell="Q37" sqref="Q37"/>
    </sheetView>
  </sheetViews>
  <sheetFormatPr defaultColWidth="9" defaultRowHeight="14" outlineLevelCol="5"/>
  <cols>
    <col min="1" max="1" width="6.85294117647059" customWidth="1"/>
    <col min="2" max="2" width="25.2867647058824" customWidth="1"/>
    <col min="3" max="3" width="23.8529411764706" customWidth="1"/>
    <col min="4" max="4" width="26.5735294117647" customWidth="1"/>
    <col min="5" max="5" width="32.8529411764706" customWidth="1"/>
    <col min="6" max="6" width="17.4264705882353" customWidth="1"/>
  </cols>
  <sheetData>
    <row r="1" ht="13.15" customHeight="1" spans="1:6">
      <c r="A1" s="221" t="s">
        <v>141</v>
      </c>
      <c r="B1" s="222"/>
      <c r="C1" s="222"/>
      <c r="D1" s="222"/>
      <c r="E1" s="222"/>
      <c r="F1" s="237"/>
    </row>
    <row r="2" ht="13.15" customHeight="1" spans="1:6">
      <c r="A2" s="223"/>
      <c r="B2" s="224"/>
      <c r="C2" s="224"/>
      <c r="D2" s="224"/>
      <c r="E2" s="224"/>
      <c r="F2" s="238"/>
    </row>
    <row r="3" ht="39" customHeight="1" spans="1:6">
      <c r="A3" s="225"/>
      <c r="B3" s="226"/>
      <c r="C3" s="226"/>
      <c r="D3" s="226"/>
      <c r="E3" s="226"/>
      <c r="F3" s="239"/>
    </row>
    <row r="4" ht="33" customHeight="1" spans="1:6">
      <c r="A4" s="177" t="s">
        <v>142</v>
      </c>
      <c r="B4" s="177" t="s">
        <v>143</v>
      </c>
      <c r="C4" s="177" t="s">
        <v>144</v>
      </c>
      <c r="D4" s="177" t="s">
        <v>145</v>
      </c>
      <c r="E4" s="192" t="s">
        <v>146</v>
      </c>
      <c r="F4" s="192" t="s">
        <v>147</v>
      </c>
    </row>
    <row r="5" ht="28.15" customHeight="1" spans="1:6">
      <c r="A5" s="27" t="s">
        <v>24</v>
      </c>
      <c r="B5" s="21" t="s">
        <v>148</v>
      </c>
      <c r="C5" s="19" t="s">
        <v>120</v>
      </c>
      <c r="D5" s="19"/>
      <c r="E5" s="19" t="s">
        <v>149</v>
      </c>
      <c r="F5" s="19"/>
    </row>
    <row r="6" ht="26.45" customHeight="1" spans="1:6">
      <c r="A6" s="27" t="s">
        <v>26</v>
      </c>
      <c r="B6" s="227" t="s">
        <v>150</v>
      </c>
      <c r="C6" s="19" t="s">
        <v>120</v>
      </c>
      <c r="D6" s="202" t="s">
        <v>151</v>
      </c>
      <c r="E6" s="19" t="s">
        <v>152</v>
      </c>
      <c r="F6" s="19"/>
    </row>
    <row r="7" ht="24" customHeight="1" spans="1:6">
      <c r="A7" s="27" t="s">
        <v>28</v>
      </c>
      <c r="B7" s="227" t="s">
        <v>153</v>
      </c>
      <c r="C7" s="19" t="s">
        <v>154</v>
      </c>
      <c r="D7" s="202">
        <v>6</v>
      </c>
      <c r="E7" s="19" t="s">
        <v>155</v>
      </c>
      <c r="F7" s="19"/>
    </row>
    <row r="8" ht="15" spans="1:6">
      <c r="A8" s="27" t="s">
        <v>31</v>
      </c>
      <c r="B8" s="227" t="s">
        <v>156</v>
      </c>
      <c r="C8" s="19" t="s">
        <v>157</v>
      </c>
      <c r="D8" s="202">
        <v>800</v>
      </c>
      <c r="E8" s="19" t="s">
        <v>158</v>
      </c>
      <c r="F8" s="19"/>
    </row>
    <row r="9" ht="15" spans="1:6">
      <c r="A9" s="27" t="s">
        <v>33</v>
      </c>
      <c r="B9" s="227" t="s">
        <v>159</v>
      </c>
      <c r="C9" s="19" t="s">
        <v>160</v>
      </c>
      <c r="D9" s="202">
        <v>5102</v>
      </c>
      <c r="E9" s="19"/>
      <c r="F9" s="19"/>
    </row>
    <row r="10" ht="27" customHeight="1" spans="1:6">
      <c r="A10" s="27" t="s">
        <v>35</v>
      </c>
      <c r="B10" s="228" t="s">
        <v>161</v>
      </c>
      <c r="C10" s="19" t="s">
        <v>162</v>
      </c>
      <c r="D10" s="229">
        <v>1307109.35</v>
      </c>
      <c r="E10" s="193" t="s">
        <v>56</v>
      </c>
      <c r="F10" s="19"/>
    </row>
    <row r="11" ht="30.6" customHeight="1" spans="1:6">
      <c r="A11" s="204" t="s">
        <v>163</v>
      </c>
      <c r="B11" s="205"/>
      <c r="C11" s="205"/>
      <c r="D11" s="205"/>
      <c r="E11" s="205"/>
      <c r="F11" s="205"/>
    </row>
    <row r="12" ht="40.15" customHeight="1" spans="1:6">
      <c r="A12" s="206" t="s">
        <v>0</v>
      </c>
      <c r="B12" s="207" t="s">
        <v>164</v>
      </c>
      <c r="C12" s="207" t="s">
        <v>165</v>
      </c>
      <c r="D12" s="208" t="s">
        <v>166</v>
      </c>
      <c r="E12" s="207" t="s">
        <v>167</v>
      </c>
      <c r="F12" s="208" t="s">
        <v>168</v>
      </c>
    </row>
    <row r="13" ht="30" customHeight="1" spans="1:6">
      <c r="A13" s="27" t="s">
        <v>40</v>
      </c>
      <c r="B13" s="228" t="s">
        <v>169</v>
      </c>
      <c r="C13" s="19" t="s">
        <v>170</v>
      </c>
      <c r="D13" s="202" t="s">
        <v>171</v>
      </c>
      <c r="E13" s="19" t="s">
        <v>172</v>
      </c>
      <c r="F13" s="19"/>
    </row>
    <row r="14" ht="38.45" customHeight="1" spans="1:6">
      <c r="A14" s="27" t="s">
        <v>42</v>
      </c>
      <c r="B14" s="227" t="s">
        <v>173</v>
      </c>
      <c r="C14" s="19" t="s">
        <v>170</v>
      </c>
      <c r="D14" s="202">
        <v>4</v>
      </c>
      <c r="E14" s="19" t="s">
        <v>172</v>
      </c>
      <c r="F14" s="19"/>
    </row>
    <row r="15" ht="38.45" customHeight="1" spans="1:6">
      <c r="A15" s="27" t="s">
        <v>44</v>
      </c>
      <c r="B15" s="227" t="s">
        <v>174</v>
      </c>
      <c r="C15" s="19" t="s">
        <v>170</v>
      </c>
      <c r="D15" s="202" t="s">
        <v>175</v>
      </c>
      <c r="E15" s="19" t="s">
        <v>172</v>
      </c>
      <c r="F15" s="19"/>
    </row>
    <row r="16" ht="26.45" customHeight="1" spans="1:6">
      <c r="A16" s="27" t="s">
        <v>46</v>
      </c>
      <c r="B16" s="227" t="s">
        <v>176</v>
      </c>
      <c r="C16" s="19" t="s">
        <v>170</v>
      </c>
      <c r="D16" s="202" t="s">
        <v>120</v>
      </c>
      <c r="E16" s="19"/>
      <c r="F16" s="19"/>
    </row>
    <row r="17" ht="34.9" customHeight="1" spans="1:6">
      <c r="A17" s="27" t="s">
        <v>177</v>
      </c>
      <c r="B17" s="227" t="s">
        <v>178</v>
      </c>
      <c r="C17" s="19" t="s">
        <v>170</v>
      </c>
      <c r="D17" s="202" t="s">
        <v>120</v>
      </c>
      <c r="E17" s="19"/>
      <c r="F17" s="19"/>
    </row>
    <row r="18" ht="25.15" customHeight="1" spans="1:6">
      <c r="A18" s="27" t="s">
        <v>179</v>
      </c>
      <c r="B18" s="227" t="s">
        <v>180</v>
      </c>
      <c r="C18" s="19" t="s">
        <v>181</v>
      </c>
      <c r="D18" s="202">
        <v>475</v>
      </c>
      <c r="E18" s="19" t="s">
        <v>172</v>
      </c>
      <c r="F18" s="19"/>
    </row>
    <row r="19" ht="24" customHeight="1" spans="1:6">
      <c r="A19" s="230" t="s">
        <v>182</v>
      </c>
      <c r="B19" s="231" t="s">
        <v>183</v>
      </c>
      <c r="C19" s="19" t="s">
        <v>170</v>
      </c>
      <c r="D19" s="202">
        <v>60</v>
      </c>
      <c r="E19" s="19" t="s">
        <v>172</v>
      </c>
      <c r="F19" s="19"/>
    </row>
    <row r="20" customFormat="1" ht="24" customHeight="1" spans="1:6">
      <c r="A20" s="232"/>
      <c r="B20" s="233"/>
      <c r="C20" s="19" t="s">
        <v>170</v>
      </c>
      <c r="D20" s="202"/>
      <c r="E20" s="19"/>
      <c r="F20" s="19"/>
    </row>
    <row r="21" ht="27" customHeight="1" spans="1:6">
      <c r="A21" s="27" t="s">
        <v>184</v>
      </c>
      <c r="B21" s="228" t="s">
        <v>185</v>
      </c>
      <c r="C21" s="19" t="s">
        <v>170</v>
      </c>
      <c r="D21" s="202">
        <v>2</v>
      </c>
      <c r="E21" s="19" t="s">
        <v>172</v>
      </c>
      <c r="F21" s="19"/>
    </row>
    <row r="22" ht="33" customHeight="1" spans="1:6">
      <c r="A22" s="175" t="s">
        <v>186</v>
      </c>
      <c r="B22" s="176"/>
      <c r="C22" s="176"/>
      <c r="D22" s="176"/>
      <c r="E22" s="176"/>
      <c r="F22" s="191"/>
    </row>
    <row r="23" ht="36" customHeight="1" spans="1:6">
      <c r="A23" s="206" t="s">
        <v>0</v>
      </c>
      <c r="B23" s="206" t="s">
        <v>164</v>
      </c>
      <c r="C23" s="206" t="s">
        <v>187</v>
      </c>
      <c r="D23" s="206" t="s">
        <v>188</v>
      </c>
      <c r="E23" s="206" t="s">
        <v>189</v>
      </c>
      <c r="F23" s="206" t="s">
        <v>190</v>
      </c>
    </row>
    <row r="24" ht="29" spans="1:6">
      <c r="A24" s="27" t="s">
        <v>50</v>
      </c>
      <c r="B24" s="21" t="s">
        <v>191</v>
      </c>
      <c r="C24" s="21" t="s">
        <v>192</v>
      </c>
      <c r="D24" s="202" t="s">
        <v>193</v>
      </c>
      <c r="E24" s="19" t="s">
        <v>194</v>
      </c>
      <c r="F24" s="19"/>
    </row>
    <row r="25" ht="19.9" customHeight="1" spans="1:6">
      <c r="A25" s="27" t="s">
        <v>52</v>
      </c>
      <c r="B25" s="19" t="s">
        <v>195</v>
      </c>
      <c r="C25" s="19" t="s">
        <v>196</v>
      </c>
      <c r="D25" s="19"/>
      <c r="E25" s="19"/>
      <c r="F25" s="19"/>
    </row>
    <row r="26" ht="19.9" customHeight="1" spans="1:6">
      <c r="A26" s="27" t="s">
        <v>54</v>
      </c>
      <c r="B26" s="19" t="s">
        <v>197</v>
      </c>
      <c r="C26" s="19" t="s">
        <v>198</v>
      </c>
      <c r="D26" s="19"/>
      <c r="E26" s="19"/>
      <c r="F26" s="19"/>
    </row>
    <row r="27" ht="28.15" customHeight="1" spans="1:6">
      <c r="A27" s="27" t="s">
        <v>57</v>
      </c>
      <c r="B27" s="21" t="s">
        <v>199</v>
      </c>
      <c r="C27" s="19"/>
      <c r="D27" s="19"/>
      <c r="E27" s="19"/>
      <c r="F27" s="19"/>
    </row>
    <row r="28" spans="1:6">
      <c r="A28" s="210" t="s">
        <v>200</v>
      </c>
      <c r="B28" s="210"/>
      <c r="C28" s="210"/>
      <c r="D28" s="210"/>
      <c r="E28" s="210"/>
      <c r="F28" s="210"/>
    </row>
    <row r="29" spans="1:6">
      <c r="A29" s="211"/>
      <c r="B29" s="211"/>
      <c r="C29" s="211"/>
      <c r="D29" s="211"/>
      <c r="E29" s="211"/>
      <c r="F29" s="211"/>
    </row>
    <row r="30" ht="36" customHeight="1" spans="1:6">
      <c r="A30" s="206" t="s">
        <v>0</v>
      </c>
      <c r="B30" s="206" t="s">
        <v>103</v>
      </c>
      <c r="C30" s="206" t="s">
        <v>165</v>
      </c>
      <c r="D30" s="206" t="s">
        <v>201</v>
      </c>
      <c r="E30" s="206" t="s">
        <v>202</v>
      </c>
      <c r="F30" s="206"/>
    </row>
    <row r="31" ht="25.15" customHeight="1" spans="1:6">
      <c r="A31" s="27" t="s">
        <v>63</v>
      </c>
      <c r="B31" s="19" t="s">
        <v>203</v>
      </c>
      <c r="C31" s="19" t="s">
        <v>204</v>
      </c>
      <c r="D31" s="202" t="s">
        <v>205</v>
      </c>
      <c r="E31" s="19"/>
      <c r="F31" s="19"/>
    </row>
    <row r="32" ht="25.15" customHeight="1" spans="1:6">
      <c r="A32" s="27" t="s">
        <v>67</v>
      </c>
      <c r="B32" s="21" t="s">
        <v>206</v>
      </c>
      <c r="C32" s="19" t="s">
        <v>207</v>
      </c>
      <c r="D32" s="234">
        <v>819010722.75</v>
      </c>
      <c r="E32" s="19" t="s">
        <v>208</v>
      </c>
      <c r="F32" s="19"/>
    </row>
    <row r="33" ht="25.15" customHeight="1" spans="1:6">
      <c r="A33" s="27" t="s">
        <v>70</v>
      </c>
      <c r="B33" s="21" t="s">
        <v>209</v>
      </c>
      <c r="C33" s="19" t="s">
        <v>210</v>
      </c>
      <c r="D33" s="234">
        <v>118821.2</v>
      </c>
      <c r="E33" s="19" t="s">
        <v>211</v>
      </c>
      <c r="F33" s="19"/>
    </row>
    <row r="34" ht="25.15" customHeight="1" spans="1:6">
      <c r="A34" s="27" t="s">
        <v>72</v>
      </c>
      <c r="B34" s="21" t="s">
        <v>212</v>
      </c>
      <c r="C34" s="19" t="s">
        <v>210</v>
      </c>
      <c r="D34" s="235">
        <v>1425854.45</v>
      </c>
      <c r="E34" s="19" t="s">
        <v>208</v>
      </c>
      <c r="F34" s="19"/>
    </row>
    <row r="35" ht="25.15" customHeight="1" spans="1:6">
      <c r="A35" s="27" t="s">
        <v>75</v>
      </c>
      <c r="B35" s="19" t="s">
        <v>213</v>
      </c>
      <c r="C35" s="19" t="s">
        <v>210</v>
      </c>
      <c r="D35" s="236">
        <f>D34*0.05</f>
        <v>71292.7225</v>
      </c>
      <c r="E35" s="19" t="s">
        <v>208</v>
      </c>
      <c r="F35" s="19"/>
    </row>
    <row r="36" ht="31.9" customHeight="1" spans="1:6">
      <c r="A36" s="27" t="s">
        <v>77</v>
      </c>
      <c r="B36" s="21" t="s">
        <v>214</v>
      </c>
      <c r="C36" s="19" t="s">
        <v>210</v>
      </c>
      <c r="D36" s="19"/>
      <c r="E36" s="19"/>
      <c r="F36" s="19"/>
    </row>
    <row r="37" ht="34.9" customHeight="1" spans="1:6">
      <c r="A37" s="214" t="s">
        <v>215</v>
      </c>
      <c r="B37" s="214"/>
      <c r="C37" s="214"/>
      <c r="D37" s="214"/>
      <c r="E37" s="214"/>
      <c r="F37" s="214"/>
    </row>
    <row r="38" ht="36.6" customHeight="1" spans="1:6">
      <c r="A38" s="206" t="s">
        <v>0</v>
      </c>
      <c r="B38" s="206" t="s">
        <v>103</v>
      </c>
      <c r="C38" s="206" t="s">
        <v>216</v>
      </c>
      <c r="D38" s="206" t="s">
        <v>217</v>
      </c>
      <c r="E38" s="206" t="s">
        <v>218</v>
      </c>
      <c r="F38" s="206" t="s">
        <v>219</v>
      </c>
    </row>
    <row r="39" s="220" customFormat="1" ht="29.45" customHeight="1" spans="1:6">
      <c r="A39" s="27" t="s">
        <v>80</v>
      </c>
      <c r="B39" s="21" t="s">
        <v>220</v>
      </c>
      <c r="C39" s="19" t="s">
        <v>221</v>
      </c>
      <c r="D39" s="202" t="s">
        <v>222</v>
      </c>
      <c r="E39" s="19" t="s">
        <v>223</v>
      </c>
      <c r="F39" s="19"/>
    </row>
    <row r="40" s="220" customFormat="1" ht="29" spans="1:6">
      <c r="A40" s="27" t="s">
        <v>82</v>
      </c>
      <c r="B40" s="21" t="s">
        <v>224</v>
      </c>
      <c r="C40" s="19"/>
      <c r="D40" s="19"/>
      <c r="E40" s="19"/>
      <c r="F40" s="19"/>
    </row>
    <row r="41" s="220" customFormat="1" ht="34.15" customHeight="1" spans="1:6">
      <c r="A41" s="27" t="s">
        <v>84</v>
      </c>
      <c r="B41" s="19" t="s">
        <v>225</v>
      </c>
      <c r="C41" s="19"/>
      <c r="D41" s="19"/>
      <c r="E41" s="19"/>
      <c r="F41" s="19"/>
    </row>
    <row r="42" s="220" customFormat="1" ht="28.9" customHeight="1" spans="1:6">
      <c r="A42" s="27" t="s">
        <v>226</v>
      </c>
      <c r="B42" s="19" t="s">
        <v>227</v>
      </c>
      <c r="C42" s="19"/>
      <c r="D42" s="19"/>
      <c r="E42" s="19"/>
      <c r="F42" s="19"/>
    </row>
    <row r="43" s="220" customFormat="1" ht="28.15" customHeight="1" spans="1:6">
      <c r="A43" s="27" t="s">
        <v>228</v>
      </c>
      <c r="B43" s="19" t="s">
        <v>229</v>
      </c>
      <c r="C43" s="19"/>
      <c r="D43" s="19"/>
      <c r="E43" s="19"/>
      <c r="F43" s="19"/>
    </row>
    <row r="44" spans="1:6">
      <c r="A44" s="215" t="s">
        <v>230</v>
      </c>
      <c r="B44" s="215"/>
      <c r="C44" s="215"/>
      <c r="D44" s="215"/>
      <c r="E44" s="215"/>
      <c r="F44" s="215"/>
    </row>
    <row r="45" spans="1:6">
      <c r="A45" s="216"/>
      <c r="B45" s="216"/>
      <c r="C45" s="216"/>
      <c r="D45" s="216"/>
      <c r="E45" s="216"/>
      <c r="F45" s="216"/>
    </row>
    <row r="46" ht="33" customHeight="1" spans="1:6">
      <c r="A46" s="206" t="s">
        <v>0</v>
      </c>
      <c r="B46" s="206" t="s">
        <v>143</v>
      </c>
      <c r="C46" s="206" t="s">
        <v>187</v>
      </c>
      <c r="D46" s="206" t="s">
        <v>231</v>
      </c>
      <c r="E46" s="206" t="s">
        <v>232</v>
      </c>
      <c r="F46" s="206" t="s">
        <v>233</v>
      </c>
    </row>
    <row r="47" ht="30" customHeight="1" spans="1:6">
      <c r="A47" s="27" t="s">
        <v>234</v>
      </c>
      <c r="B47" s="21" t="s">
        <v>235</v>
      </c>
      <c r="C47" s="202" t="s">
        <v>236</v>
      </c>
      <c r="D47" s="19" t="s">
        <v>172</v>
      </c>
      <c r="E47" s="19"/>
      <c r="F47" s="19"/>
    </row>
    <row r="48" ht="30" customHeight="1" spans="1:6">
      <c r="A48" s="27" t="s">
        <v>237</v>
      </c>
      <c r="B48" s="21" t="s">
        <v>238</v>
      </c>
      <c r="C48" s="202" t="s">
        <v>239</v>
      </c>
      <c r="D48" s="19" t="s">
        <v>172</v>
      </c>
      <c r="E48" s="19"/>
      <c r="F48" s="19"/>
    </row>
    <row r="49" ht="42" customHeight="1" spans="1:6">
      <c r="A49" s="27" t="s">
        <v>240</v>
      </c>
      <c r="B49" s="21" t="s">
        <v>241</v>
      </c>
      <c r="C49" s="202" t="s">
        <v>242</v>
      </c>
      <c r="D49" s="19" t="s">
        <v>172</v>
      </c>
      <c r="E49" s="19"/>
      <c r="F49" s="19"/>
    </row>
    <row r="50" ht="40.15" customHeight="1" spans="1:6">
      <c r="A50" s="27" t="s">
        <v>243</v>
      </c>
      <c r="B50" s="21" t="s">
        <v>244</v>
      </c>
      <c r="C50" s="1"/>
      <c r="D50" s="1"/>
      <c r="E50" s="1"/>
      <c r="F50" s="1"/>
    </row>
  </sheetData>
  <mergeCells count="8">
    <mergeCell ref="A11:F11"/>
    <mergeCell ref="A22:F22"/>
    <mergeCell ref="A37:F37"/>
    <mergeCell ref="A19:A20"/>
    <mergeCell ref="B19:B20"/>
    <mergeCell ref="A1:F3"/>
    <mergeCell ref="A44:F45"/>
    <mergeCell ref="A28:F2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47"/>
  <sheetViews>
    <sheetView topLeftCell="A37" workbookViewId="0">
      <selection activeCell="C40" sqref="C40:D40"/>
    </sheetView>
  </sheetViews>
  <sheetFormatPr defaultColWidth="9" defaultRowHeight="14" outlineLevelCol="5"/>
  <cols>
    <col min="1" max="1" width="5" customWidth="1"/>
    <col min="2" max="2" width="28.2867647058824" customWidth="1"/>
    <col min="3" max="3" width="16.8529411764706" customWidth="1"/>
    <col min="4" max="4" width="19.8529411764706" customWidth="1"/>
    <col min="5" max="5" width="25.2867647058824" customWidth="1"/>
    <col min="6" max="6" width="14.2867647058824" customWidth="1"/>
  </cols>
  <sheetData>
    <row r="1" ht="13.15" customHeight="1" spans="1:6">
      <c r="A1" s="195" t="s">
        <v>245</v>
      </c>
      <c r="B1" s="196"/>
      <c r="C1" s="196"/>
      <c r="D1" s="196"/>
      <c r="E1" s="196"/>
      <c r="F1" s="217"/>
    </row>
    <row r="2" ht="16.9" customHeight="1" spans="1:6">
      <c r="A2" s="197"/>
      <c r="B2" s="198"/>
      <c r="C2" s="198"/>
      <c r="D2" s="198"/>
      <c r="E2" s="198"/>
      <c r="F2" s="218"/>
    </row>
    <row r="3" ht="5.45" customHeight="1" spans="1:6">
      <c r="A3" s="199"/>
      <c r="B3" s="200"/>
      <c r="C3" s="200"/>
      <c r="D3" s="200"/>
      <c r="E3" s="200"/>
      <c r="F3" s="219"/>
    </row>
    <row r="4" ht="20.45" customHeight="1" spans="1:6">
      <c r="A4" s="177" t="s">
        <v>142</v>
      </c>
      <c r="B4" s="177" t="s">
        <v>143</v>
      </c>
      <c r="C4" s="177" t="s">
        <v>144</v>
      </c>
      <c r="D4" s="177" t="s">
        <v>145</v>
      </c>
      <c r="E4" s="192" t="s">
        <v>146</v>
      </c>
      <c r="F4" s="192" t="s">
        <v>147</v>
      </c>
    </row>
    <row r="5" ht="25.15" customHeight="1" spans="1:6">
      <c r="A5" s="27" t="s">
        <v>24</v>
      </c>
      <c r="B5" s="21" t="s">
        <v>246</v>
      </c>
      <c r="C5" s="19" t="s">
        <v>247</v>
      </c>
      <c r="D5" s="19"/>
      <c r="E5" s="19" t="s">
        <v>248</v>
      </c>
      <c r="F5" s="19"/>
    </row>
    <row r="6" ht="25.15" customHeight="1" spans="1:6">
      <c r="A6" s="27" t="s">
        <v>26</v>
      </c>
      <c r="B6" s="21" t="s">
        <v>249</v>
      </c>
      <c r="C6" s="19" t="s">
        <v>250</v>
      </c>
      <c r="D6" s="201">
        <v>785000</v>
      </c>
      <c r="E6" s="19" t="s">
        <v>251</v>
      </c>
      <c r="F6" s="19"/>
    </row>
    <row r="7" ht="25.15" customHeight="1" spans="1:6">
      <c r="A7" s="27" t="s">
        <v>28</v>
      </c>
      <c r="B7" s="19" t="s">
        <v>252</v>
      </c>
      <c r="C7" s="19" t="s">
        <v>253</v>
      </c>
      <c r="D7" s="202">
        <v>1</v>
      </c>
      <c r="E7" s="19" t="s">
        <v>254</v>
      </c>
      <c r="F7" s="19"/>
    </row>
    <row r="8" ht="27.6" customHeight="1" spans="1:6">
      <c r="A8" s="27" t="s">
        <v>31</v>
      </c>
      <c r="B8" s="19" t="s">
        <v>255</v>
      </c>
      <c r="C8" s="19" t="s">
        <v>250</v>
      </c>
      <c r="D8" s="203">
        <v>395.92</v>
      </c>
      <c r="E8" s="19" t="s">
        <v>251</v>
      </c>
      <c r="F8" s="21" t="s">
        <v>256</v>
      </c>
    </row>
    <row r="9" ht="25.15" customHeight="1" spans="1:6">
      <c r="A9" s="27" t="s">
        <v>33</v>
      </c>
      <c r="B9" s="21" t="s">
        <v>257</v>
      </c>
      <c r="C9" s="19" t="s">
        <v>258</v>
      </c>
      <c r="D9" s="202">
        <v>1547.87</v>
      </c>
      <c r="E9" s="19"/>
      <c r="F9" s="19"/>
    </row>
    <row r="10" ht="25.15" customHeight="1" spans="1:6">
      <c r="A10" s="27" t="s">
        <v>35</v>
      </c>
      <c r="B10" s="21" t="s">
        <v>259</v>
      </c>
      <c r="C10" s="19" t="s">
        <v>258</v>
      </c>
      <c r="D10" s="202">
        <v>790.4</v>
      </c>
      <c r="E10" s="19"/>
      <c r="F10" s="19"/>
    </row>
    <row r="11" ht="25.15" customHeight="1" spans="1:6">
      <c r="A11" s="27" t="s">
        <v>37</v>
      </c>
      <c r="B11" s="19" t="s">
        <v>161</v>
      </c>
      <c r="C11" s="19" t="s">
        <v>260</v>
      </c>
      <c r="D11" s="202">
        <v>455.5493</v>
      </c>
      <c r="E11" s="1" t="s">
        <v>56</v>
      </c>
      <c r="F11" s="19"/>
    </row>
    <row r="12" ht="27" customHeight="1" spans="1:6">
      <c r="A12" s="204" t="s">
        <v>163</v>
      </c>
      <c r="B12" s="205"/>
      <c r="C12" s="205"/>
      <c r="D12" s="205"/>
      <c r="E12" s="205"/>
      <c r="F12" s="205"/>
    </row>
    <row r="13" ht="30.6" customHeight="1" spans="1:6">
      <c r="A13" s="206" t="s">
        <v>0</v>
      </c>
      <c r="B13" s="207" t="s">
        <v>164</v>
      </c>
      <c r="C13" s="207" t="s">
        <v>165</v>
      </c>
      <c r="D13" s="208" t="s">
        <v>166</v>
      </c>
      <c r="E13" s="207" t="s">
        <v>167</v>
      </c>
      <c r="F13" s="207"/>
    </row>
    <row r="14" ht="25.15" customHeight="1" spans="1:6">
      <c r="A14" s="27" t="s">
        <v>40</v>
      </c>
      <c r="B14" s="19" t="s">
        <v>261</v>
      </c>
      <c r="C14" s="19" t="s">
        <v>262</v>
      </c>
      <c r="D14" s="202">
        <v>6</v>
      </c>
      <c r="E14" s="19" t="s">
        <v>172</v>
      </c>
      <c r="F14" s="19"/>
    </row>
    <row r="15" ht="25.15" customHeight="1" spans="1:6">
      <c r="A15" s="27" t="s">
        <v>42</v>
      </c>
      <c r="B15" s="19" t="s">
        <v>263</v>
      </c>
      <c r="C15" s="19" t="s">
        <v>108</v>
      </c>
      <c r="D15" s="202">
        <v>3771</v>
      </c>
      <c r="E15" s="19"/>
      <c r="F15" s="19"/>
    </row>
    <row r="16" ht="25.15" customHeight="1" spans="1:6">
      <c r="A16" s="27" t="s">
        <v>44</v>
      </c>
      <c r="B16" s="21" t="s">
        <v>264</v>
      </c>
      <c r="C16" s="19" t="s">
        <v>262</v>
      </c>
      <c r="D16" s="202" t="s">
        <v>120</v>
      </c>
      <c r="E16" s="19"/>
      <c r="F16" s="19"/>
    </row>
    <row r="17" ht="25.15" customHeight="1" spans="1:6">
      <c r="A17" s="27" t="s">
        <v>46</v>
      </c>
      <c r="B17" s="21" t="s">
        <v>265</v>
      </c>
      <c r="C17" s="19" t="s">
        <v>262</v>
      </c>
      <c r="D17" s="202">
        <v>1</v>
      </c>
      <c r="E17" s="19" t="s">
        <v>172</v>
      </c>
      <c r="F17" s="19"/>
    </row>
    <row r="18" ht="25.15" customHeight="1" spans="1:6">
      <c r="A18" s="27" t="s">
        <v>177</v>
      </c>
      <c r="B18" s="21" t="s">
        <v>266</v>
      </c>
      <c r="C18" s="19" t="s">
        <v>262</v>
      </c>
      <c r="D18" s="202">
        <v>2</v>
      </c>
      <c r="E18" s="19" t="s">
        <v>172</v>
      </c>
      <c r="F18" s="19"/>
    </row>
    <row r="19" ht="25.15" customHeight="1" spans="1:6">
      <c r="A19" s="27" t="s">
        <v>179</v>
      </c>
      <c r="B19" s="19" t="s">
        <v>267</v>
      </c>
      <c r="C19" s="19" t="s">
        <v>262</v>
      </c>
      <c r="D19" s="202">
        <v>4</v>
      </c>
      <c r="E19" s="19" t="s">
        <v>268</v>
      </c>
      <c r="F19" s="19"/>
    </row>
    <row r="20" ht="25.15" customHeight="1" spans="1:6">
      <c r="A20" s="27" t="s">
        <v>182</v>
      </c>
      <c r="B20" s="19" t="s">
        <v>269</v>
      </c>
      <c r="C20" s="19" t="s">
        <v>262</v>
      </c>
      <c r="D20" s="202">
        <v>12</v>
      </c>
      <c r="E20" s="19" t="s">
        <v>268</v>
      </c>
      <c r="F20" s="19"/>
    </row>
    <row r="21" ht="25.15" customHeight="1" spans="1:6">
      <c r="A21" s="175" t="s">
        <v>270</v>
      </c>
      <c r="B21" s="176"/>
      <c r="C21" s="176"/>
      <c r="D21" s="176"/>
      <c r="E21" s="176"/>
      <c r="F21" s="191"/>
    </row>
    <row r="22" ht="25.15" customHeight="1" spans="1:6">
      <c r="A22" s="206" t="s">
        <v>0</v>
      </c>
      <c r="B22" s="206" t="s">
        <v>164</v>
      </c>
      <c r="C22" s="206" t="s">
        <v>187</v>
      </c>
      <c r="D22" s="206" t="s">
        <v>188</v>
      </c>
      <c r="E22" s="206" t="s">
        <v>189</v>
      </c>
      <c r="F22" s="206" t="s">
        <v>271</v>
      </c>
    </row>
    <row r="23" ht="29" spans="1:6">
      <c r="A23" s="27" t="s">
        <v>50</v>
      </c>
      <c r="B23" s="21" t="s">
        <v>272</v>
      </c>
      <c r="C23" s="209" t="s">
        <v>273</v>
      </c>
      <c r="D23" s="202">
        <v>2022</v>
      </c>
      <c r="E23" s="209" t="s">
        <v>274</v>
      </c>
      <c r="F23" s="19"/>
    </row>
    <row r="24" ht="25.15" customHeight="1" spans="1:6">
      <c r="A24" s="27" t="s">
        <v>52</v>
      </c>
      <c r="B24" s="19" t="s">
        <v>275</v>
      </c>
      <c r="C24" s="202" t="s">
        <v>276</v>
      </c>
      <c r="D24" s="202"/>
      <c r="E24" s="202"/>
      <c r="F24" s="19"/>
    </row>
    <row r="25" ht="25.15" customHeight="1" spans="1:6">
      <c r="A25" s="27" t="s">
        <v>54</v>
      </c>
      <c r="B25" s="19" t="s">
        <v>277</v>
      </c>
      <c r="C25" s="19" t="s">
        <v>120</v>
      </c>
      <c r="D25" s="19"/>
      <c r="E25" s="19"/>
      <c r="F25" s="19"/>
    </row>
    <row r="26" spans="1:6">
      <c r="A26" s="210" t="s">
        <v>200</v>
      </c>
      <c r="B26" s="210"/>
      <c r="C26" s="210"/>
      <c r="D26" s="210"/>
      <c r="E26" s="210"/>
      <c r="F26" s="210"/>
    </row>
    <row r="27" ht="7.9" customHeight="1" spans="1:6">
      <c r="A27" s="211"/>
      <c r="B27" s="211"/>
      <c r="C27" s="211"/>
      <c r="D27" s="211"/>
      <c r="E27" s="211"/>
      <c r="F27" s="211"/>
    </row>
    <row r="28" ht="25.15" customHeight="1" spans="1:6">
      <c r="A28" s="206" t="s">
        <v>0</v>
      </c>
      <c r="B28" s="206" t="s">
        <v>103</v>
      </c>
      <c r="C28" s="206" t="s">
        <v>165</v>
      </c>
      <c r="D28" s="206" t="s">
        <v>201</v>
      </c>
      <c r="E28" s="206" t="s">
        <v>202</v>
      </c>
      <c r="F28" s="206"/>
    </row>
    <row r="29" ht="25.15" customHeight="1" spans="1:6">
      <c r="A29" s="27" t="s">
        <v>63</v>
      </c>
      <c r="B29" s="19" t="s">
        <v>278</v>
      </c>
      <c r="C29" s="19" t="s">
        <v>279</v>
      </c>
      <c r="D29" s="202">
        <v>1500</v>
      </c>
      <c r="E29" s="19" t="s">
        <v>280</v>
      </c>
      <c r="F29" s="19"/>
    </row>
    <row r="30" ht="25.15" customHeight="1" spans="1:6">
      <c r="A30" s="27" t="s">
        <v>67</v>
      </c>
      <c r="B30" s="21" t="s">
        <v>206</v>
      </c>
      <c r="C30" s="19" t="s">
        <v>207</v>
      </c>
      <c r="D30" s="212">
        <v>625731000</v>
      </c>
      <c r="E30" s="19" t="s">
        <v>280</v>
      </c>
      <c r="F30" s="19"/>
    </row>
    <row r="31" ht="25.15" customHeight="1" spans="1:6">
      <c r="A31" s="27" t="s">
        <v>70</v>
      </c>
      <c r="B31" s="21" t="s">
        <v>281</v>
      </c>
      <c r="C31" s="19" t="s">
        <v>247</v>
      </c>
      <c r="D31" s="213">
        <v>64177.54</v>
      </c>
      <c r="E31" s="19" t="s">
        <v>282</v>
      </c>
      <c r="F31" s="19"/>
    </row>
    <row r="32" ht="25.15" customHeight="1" spans="1:6">
      <c r="A32" s="27" t="s">
        <v>72</v>
      </c>
      <c r="B32" s="21" t="s">
        <v>283</v>
      </c>
      <c r="C32" s="19" t="s">
        <v>247</v>
      </c>
      <c r="D32" s="202">
        <v>455.5493</v>
      </c>
      <c r="E32" s="1" t="s">
        <v>56</v>
      </c>
      <c r="F32" s="19"/>
    </row>
    <row r="33" ht="25.15" customHeight="1" spans="1:6">
      <c r="A33" s="27" t="s">
        <v>75</v>
      </c>
      <c r="B33" s="19" t="s">
        <v>213</v>
      </c>
      <c r="C33" s="19" t="s">
        <v>247</v>
      </c>
      <c r="D33" s="202">
        <f>14.4*365*4</f>
        <v>21024</v>
      </c>
      <c r="E33" s="19" t="s">
        <v>284</v>
      </c>
      <c r="F33" s="19"/>
    </row>
    <row r="34" ht="25.15" customHeight="1" spans="1:6">
      <c r="A34" s="27" t="s">
        <v>77</v>
      </c>
      <c r="B34" s="21" t="s">
        <v>214</v>
      </c>
      <c r="C34" s="19" t="s">
        <v>247</v>
      </c>
      <c r="D34" s="19" t="s">
        <v>120</v>
      </c>
      <c r="E34" s="19"/>
      <c r="F34" s="19"/>
    </row>
    <row r="35" ht="27.6" customHeight="1" spans="1:6">
      <c r="A35" s="214" t="s">
        <v>215</v>
      </c>
      <c r="B35" s="214"/>
      <c r="C35" s="214"/>
      <c r="D35" s="214"/>
      <c r="E35" s="214"/>
      <c r="F35" s="214"/>
    </row>
    <row r="36" ht="25.15" customHeight="1" spans="1:6">
      <c r="A36" s="206" t="s">
        <v>0</v>
      </c>
      <c r="B36" s="19" t="s">
        <v>103</v>
      </c>
      <c r="C36" s="19" t="s">
        <v>216</v>
      </c>
      <c r="D36" s="19" t="s">
        <v>217</v>
      </c>
      <c r="E36" s="19" t="s">
        <v>218</v>
      </c>
      <c r="F36" s="19" t="s">
        <v>219</v>
      </c>
    </row>
    <row r="37" ht="25.15" customHeight="1" spans="1:6">
      <c r="A37" s="27" t="s">
        <v>80</v>
      </c>
      <c r="B37" s="21" t="s">
        <v>285</v>
      </c>
      <c r="C37" s="19" t="s">
        <v>120</v>
      </c>
      <c r="D37" s="19" t="s">
        <v>120</v>
      </c>
      <c r="E37" s="19"/>
      <c r="F37" s="19"/>
    </row>
    <row r="38" ht="25.15" customHeight="1" spans="1:6">
      <c r="A38" s="27" t="s">
        <v>82</v>
      </c>
      <c r="B38" s="21" t="s">
        <v>286</v>
      </c>
      <c r="C38" s="19" t="s">
        <v>120</v>
      </c>
      <c r="D38" s="19" t="s">
        <v>120</v>
      </c>
      <c r="E38" s="19"/>
      <c r="F38" s="19"/>
    </row>
    <row r="39" ht="25.15" customHeight="1" spans="1:6">
      <c r="A39" s="27" t="s">
        <v>84</v>
      </c>
      <c r="B39" s="19" t="s">
        <v>225</v>
      </c>
      <c r="C39" s="19" t="s">
        <v>120</v>
      </c>
      <c r="D39" s="19" t="s">
        <v>120</v>
      </c>
      <c r="E39" s="19"/>
      <c r="F39" s="19"/>
    </row>
    <row r="40" ht="25.15" customHeight="1" spans="1:6">
      <c r="A40" s="27" t="s">
        <v>226</v>
      </c>
      <c r="B40" s="19" t="s">
        <v>227</v>
      </c>
      <c r="C40" s="202" t="s">
        <v>287</v>
      </c>
      <c r="D40" s="209" t="s">
        <v>288</v>
      </c>
      <c r="E40" s="19"/>
      <c r="F40" s="19"/>
    </row>
    <row r="41" spans="1:6">
      <c r="A41" s="27" t="s">
        <v>228</v>
      </c>
      <c r="B41" s="19" t="s">
        <v>229</v>
      </c>
      <c r="E41" s="19"/>
      <c r="F41" s="19"/>
    </row>
    <row r="42" spans="1:6">
      <c r="A42" s="215" t="s">
        <v>230</v>
      </c>
      <c r="B42" s="215"/>
      <c r="C42" s="215"/>
      <c r="D42" s="215"/>
      <c r="E42" s="215"/>
      <c r="F42" s="215"/>
    </row>
    <row r="43" spans="1:6">
      <c r="A43" s="216"/>
      <c r="B43" s="216"/>
      <c r="C43" s="216"/>
      <c r="D43" s="216"/>
      <c r="E43" s="216"/>
      <c r="F43" s="216"/>
    </row>
    <row r="44" ht="25.15" customHeight="1" spans="1:6">
      <c r="A44" s="206" t="s">
        <v>0</v>
      </c>
      <c r="B44" s="206" t="s">
        <v>143</v>
      </c>
      <c r="C44" s="206" t="s">
        <v>187</v>
      </c>
      <c r="D44" s="206" t="s">
        <v>231</v>
      </c>
      <c r="E44" s="206" t="s">
        <v>232</v>
      </c>
      <c r="F44" s="206" t="s">
        <v>233</v>
      </c>
    </row>
    <row r="45" ht="25.15" customHeight="1" spans="1:6">
      <c r="A45" s="27" t="s">
        <v>234</v>
      </c>
      <c r="B45" s="21" t="s">
        <v>235</v>
      </c>
      <c r="C45" s="19" t="s">
        <v>289</v>
      </c>
      <c r="D45" s="19" t="s">
        <v>268</v>
      </c>
      <c r="E45" s="19"/>
      <c r="F45" s="19"/>
    </row>
    <row r="46" ht="26.45" customHeight="1" spans="1:6">
      <c r="A46" s="27" t="s">
        <v>237</v>
      </c>
      <c r="B46" s="21" t="s">
        <v>290</v>
      </c>
      <c r="C46" s="19" t="s">
        <v>120</v>
      </c>
      <c r="D46" s="19" t="s">
        <v>120</v>
      </c>
      <c r="E46" s="19"/>
      <c r="F46" s="19"/>
    </row>
    <row r="47" ht="30" customHeight="1" spans="1:6">
      <c r="A47" s="27" t="s">
        <v>240</v>
      </c>
      <c r="B47" s="21" t="s">
        <v>291</v>
      </c>
      <c r="C47" s="19" t="s">
        <v>292</v>
      </c>
      <c r="D47" s="19" t="s">
        <v>172</v>
      </c>
      <c r="E47" s="19"/>
      <c r="F47" s="19"/>
    </row>
  </sheetData>
  <mergeCells count="6">
    <mergeCell ref="A12:F12"/>
    <mergeCell ref="A21:F21"/>
    <mergeCell ref="A35:F35"/>
    <mergeCell ref="A1:F3"/>
    <mergeCell ref="A42:F43"/>
    <mergeCell ref="A26:F27"/>
  </mergeCells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F29"/>
  <sheetViews>
    <sheetView topLeftCell="A11" workbookViewId="0">
      <selection activeCell="E33" sqref="E33"/>
    </sheetView>
  </sheetViews>
  <sheetFormatPr defaultColWidth="9" defaultRowHeight="14" outlineLevelCol="5"/>
  <cols>
    <col min="1" max="1" width="5.28676470588235" customWidth="1"/>
    <col min="2" max="2" width="27.8529411764706" customWidth="1"/>
    <col min="3" max="3" width="18.7132352941176" customWidth="1"/>
    <col min="4" max="4" width="20.2867647058824" customWidth="1"/>
    <col min="5" max="5" width="32.8529411764706" customWidth="1"/>
    <col min="6" max="6" width="24.2867647058824" customWidth="1"/>
    <col min="7" max="7" width="8.85294117647059" customWidth="1"/>
  </cols>
  <sheetData>
    <row r="1" spans="1:6">
      <c r="A1" s="171" t="s">
        <v>293</v>
      </c>
      <c r="B1" s="172"/>
      <c r="C1" s="172"/>
      <c r="D1" s="172"/>
      <c r="E1" s="172"/>
      <c r="F1" s="189"/>
    </row>
    <row r="2" ht="16.9" customHeight="1" spans="1:6">
      <c r="A2" s="173"/>
      <c r="B2" s="174"/>
      <c r="C2" s="174"/>
      <c r="D2" s="174"/>
      <c r="E2" s="174"/>
      <c r="F2" s="190"/>
    </row>
    <row r="3" ht="26.45" customHeight="1" spans="1:6">
      <c r="A3" s="175" t="s">
        <v>294</v>
      </c>
      <c r="B3" s="176"/>
      <c r="C3" s="176"/>
      <c r="D3" s="176"/>
      <c r="E3" s="176"/>
      <c r="F3" s="191"/>
    </row>
    <row r="4" ht="69" customHeight="1" spans="1:6">
      <c r="A4" s="177" t="s">
        <v>142</v>
      </c>
      <c r="B4" s="177" t="s">
        <v>143</v>
      </c>
      <c r="C4" s="177" t="s">
        <v>144</v>
      </c>
      <c r="D4" s="177" t="s">
        <v>145</v>
      </c>
      <c r="E4" s="192" t="s">
        <v>146</v>
      </c>
      <c r="F4" s="192" t="s">
        <v>147</v>
      </c>
    </row>
    <row r="5" ht="63" customHeight="1" spans="1:6">
      <c r="A5" s="27" t="s">
        <v>24</v>
      </c>
      <c r="B5" s="178" t="s">
        <v>295</v>
      </c>
      <c r="C5" s="27" t="s">
        <v>247</v>
      </c>
      <c r="D5" s="27"/>
      <c r="E5" s="178" t="s">
        <v>296</v>
      </c>
      <c r="F5" s="27"/>
    </row>
    <row r="6" ht="36" customHeight="1" spans="1:6">
      <c r="A6" s="27" t="s">
        <v>26</v>
      </c>
      <c r="B6" s="178" t="s">
        <v>249</v>
      </c>
      <c r="C6" s="27"/>
      <c r="D6" s="178" t="s">
        <v>297</v>
      </c>
      <c r="E6" s="27" t="s">
        <v>251</v>
      </c>
      <c r="F6" s="27" t="s">
        <v>298</v>
      </c>
    </row>
    <row r="7" ht="30" customHeight="1" spans="1:6">
      <c r="A7" s="27" t="s">
        <v>28</v>
      </c>
      <c r="B7" s="178" t="s">
        <v>252</v>
      </c>
      <c r="C7" s="27" t="s">
        <v>299</v>
      </c>
      <c r="D7" s="27" t="s">
        <v>300</v>
      </c>
      <c r="E7" s="27" t="s">
        <v>254</v>
      </c>
      <c r="F7" s="27"/>
    </row>
    <row r="8" ht="15" spans="1:6">
      <c r="A8" s="27" t="s">
        <v>31</v>
      </c>
      <c r="B8" s="178" t="s">
        <v>257</v>
      </c>
      <c r="C8" s="27" t="s">
        <v>258</v>
      </c>
      <c r="D8" s="27" t="s">
        <v>301</v>
      </c>
      <c r="E8" s="27" t="s">
        <v>302</v>
      </c>
      <c r="F8" s="27"/>
    </row>
    <row r="9" ht="31.9" customHeight="1" spans="1:6">
      <c r="A9" s="27" t="s">
        <v>33</v>
      </c>
      <c r="B9" s="178" t="s">
        <v>259</v>
      </c>
      <c r="C9" s="27" t="s">
        <v>258</v>
      </c>
      <c r="D9" s="27" t="s">
        <v>303</v>
      </c>
      <c r="E9" s="27" t="s">
        <v>302</v>
      </c>
      <c r="F9" s="27"/>
    </row>
    <row r="10" ht="24.6" customHeight="1" spans="1:6">
      <c r="A10" s="27" t="s">
        <v>35</v>
      </c>
      <c r="B10" s="27" t="s">
        <v>161</v>
      </c>
      <c r="C10" s="27" t="s">
        <v>260</v>
      </c>
      <c r="D10" s="27" t="s">
        <v>304</v>
      </c>
      <c r="E10" s="193" t="s">
        <v>56</v>
      </c>
      <c r="F10" s="27"/>
    </row>
    <row r="11" ht="30.6" customHeight="1" spans="1:6">
      <c r="A11" s="179" t="s">
        <v>163</v>
      </c>
      <c r="B11" s="180"/>
      <c r="C11" s="180"/>
      <c r="D11" s="180"/>
      <c r="E11" s="180"/>
      <c r="F11" s="180"/>
    </row>
    <row r="12" ht="43.9" customHeight="1" spans="1:6">
      <c r="A12" s="181" t="s">
        <v>0</v>
      </c>
      <c r="B12" s="182" t="s">
        <v>164</v>
      </c>
      <c r="C12" s="182" t="s">
        <v>165</v>
      </c>
      <c r="D12" s="182" t="s">
        <v>166</v>
      </c>
      <c r="E12" s="182" t="s">
        <v>167</v>
      </c>
      <c r="F12" s="182"/>
    </row>
    <row r="13" ht="31.15" customHeight="1" spans="1:6">
      <c r="A13" s="27" t="s">
        <v>24</v>
      </c>
      <c r="B13" s="178" t="s">
        <v>305</v>
      </c>
      <c r="C13" s="27" t="s">
        <v>306</v>
      </c>
      <c r="D13" s="27"/>
      <c r="E13" s="27"/>
      <c r="F13" s="27"/>
    </row>
    <row r="14" ht="26.45" customHeight="1" spans="1:6">
      <c r="A14" s="27" t="s">
        <v>26</v>
      </c>
      <c r="B14" s="27" t="s">
        <v>307</v>
      </c>
      <c r="C14" s="27" t="s">
        <v>262</v>
      </c>
      <c r="D14" s="27" t="s">
        <v>308</v>
      </c>
      <c r="E14" s="27"/>
      <c r="F14" s="27"/>
    </row>
    <row r="15" ht="51.6" customHeight="1" spans="1:6">
      <c r="A15" s="27" t="s">
        <v>28</v>
      </c>
      <c r="B15" s="178" t="s">
        <v>309</v>
      </c>
      <c r="C15" s="27" t="s">
        <v>262</v>
      </c>
      <c r="D15" s="27" t="s">
        <v>310</v>
      </c>
      <c r="E15" s="27"/>
      <c r="F15" s="178" t="s">
        <v>311</v>
      </c>
    </row>
    <row r="16" ht="34.15" customHeight="1" spans="1:6">
      <c r="A16" s="27" t="s">
        <v>31</v>
      </c>
      <c r="B16" s="178" t="s">
        <v>312</v>
      </c>
      <c r="C16" s="27" t="s">
        <v>262</v>
      </c>
      <c r="D16" s="27"/>
      <c r="E16" s="27"/>
      <c r="F16" s="27" t="s">
        <v>313</v>
      </c>
    </row>
    <row r="17" ht="22.15" customHeight="1" spans="1:6">
      <c r="A17" s="183" t="s">
        <v>270</v>
      </c>
      <c r="B17" s="184"/>
      <c r="C17" s="184"/>
      <c r="D17" s="184"/>
      <c r="E17" s="184"/>
      <c r="F17" s="194"/>
    </row>
    <row r="18" ht="39.6" customHeight="1" spans="1:6">
      <c r="A18" s="181" t="s">
        <v>0</v>
      </c>
      <c r="B18" s="181" t="s">
        <v>164</v>
      </c>
      <c r="C18" s="181" t="s">
        <v>187</v>
      </c>
      <c r="D18" s="181" t="s">
        <v>188</v>
      </c>
      <c r="E18" s="181" t="s">
        <v>189</v>
      </c>
      <c r="F18" s="181" t="s">
        <v>271</v>
      </c>
    </row>
    <row r="19" ht="31.15" customHeight="1" spans="1:6">
      <c r="A19" s="27" t="s">
        <v>24</v>
      </c>
      <c r="B19" s="178" t="s">
        <v>272</v>
      </c>
      <c r="C19" s="27" t="s">
        <v>314</v>
      </c>
      <c r="D19" s="27"/>
      <c r="E19" s="27" t="s">
        <v>315</v>
      </c>
      <c r="F19" s="27"/>
    </row>
    <row r="20" ht="27" customHeight="1" spans="1:6">
      <c r="A20" s="27" t="s">
        <v>26</v>
      </c>
      <c r="B20" s="27" t="s">
        <v>275</v>
      </c>
      <c r="C20" s="27" t="s">
        <v>276</v>
      </c>
      <c r="D20" s="27"/>
      <c r="E20" s="27"/>
      <c r="F20" s="27"/>
    </row>
    <row r="21" spans="1:6">
      <c r="A21" s="185" t="s">
        <v>200</v>
      </c>
      <c r="B21" s="185"/>
      <c r="C21" s="185"/>
      <c r="D21" s="185"/>
      <c r="E21" s="185"/>
      <c r="F21" s="185"/>
    </row>
    <row r="22" spans="1:6">
      <c r="A22" s="186"/>
      <c r="B22" s="186"/>
      <c r="C22" s="186"/>
      <c r="D22" s="186"/>
      <c r="E22" s="186"/>
      <c r="F22" s="186"/>
    </row>
    <row r="23" ht="23.45" customHeight="1" spans="1:6">
      <c r="A23" s="181" t="s">
        <v>0</v>
      </c>
      <c r="B23" s="181" t="s">
        <v>103</v>
      </c>
      <c r="C23" s="181" t="s">
        <v>165</v>
      </c>
      <c r="D23" s="181" t="s">
        <v>201</v>
      </c>
      <c r="E23" s="181" t="s">
        <v>202</v>
      </c>
      <c r="F23" s="181"/>
    </row>
    <row r="24" ht="30.6" customHeight="1" spans="1:6">
      <c r="A24" s="27" t="s">
        <v>24</v>
      </c>
      <c r="B24" s="27" t="s">
        <v>316</v>
      </c>
      <c r="C24" s="27" t="s">
        <v>279</v>
      </c>
      <c r="D24" s="187">
        <v>9000</v>
      </c>
      <c r="E24" s="27" t="s">
        <v>317</v>
      </c>
      <c r="F24" s="27" t="s">
        <v>318</v>
      </c>
    </row>
    <row r="25" ht="26.45" customHeight="1" spans="1:6">
      <c r="A25" s="27" t="s">
        <v>26</v>
      </c>
      <c r="B25" s="178" t="s">
        <v>206</v>
      </c>
      <c r="C25" s="27" t="s">
        <v>207</v>
      </c>
      <c r="D25" s="188">
        <v>245649432</v>
      </c>
      <c r="E25" s="27" t="s">
        <v>280</v>
      </c>
      <c r="F25" s="27"/>
    </row>
    <row r="26" ht="21.6" customHeight="1" spans="1:6">
      <c r="A26" s="27" t="s">
        <v>28</v>
      </c>
      <c r="B26" s="178" t="s">
        <v>319</v>
      </c>
      <c r="C26" s="27" t="s">
        <v>320</v>
      </c>
      <c r="D26" s="188">
        <v>9122.91</v>
      </c>
      <c r="E26" s="27" t="s">
        <v>282</v>
      </c>
      <c r="F26" s="27"/>
    </row>
    <row r="27" ht="21" customHeight="1" spans="1:6">
      <c r="A27" s="27" t="s">
        <v>31</v>
      </c>
      <c r="B27" s="178" t="s">
        <v>321</v>
      </c>
      <c r="C27" s="27" t="s">
        <v>320</v>
      </c>
      <c r="D27" s="188">
        <v>110994</v>
      </c>
      <c r="E27" s="27" t="s">
        <v>280</v>
      </c>
      <c r="F27" s="27"/>
    </row>
    <row r="28" ht="22.15" customHeight="1" spans="1:6">
      <c r="A28" s="27" t="s">
        <v>33</v>
      </c>
      <c r="B28" s="27" t="s">
        <v>213</v>
      </c>
      <c r="C28" s="27" t="s">
        <v>247</v>
      </c>
      <c r="D28" s="27" t="s">
        <v>120</v>
      </c>
      <c r="E28" s="27"/>
      <c r="F28" s="27"/>
    </row>
    <row r="29" ht="29" spans="1:6">
      <c r="A29" s="27" t="s">
        <v>35</v>
      </c>
      <c r="B29" s="178" t="s">
        <v>214</v>
      </c>
      <c r="C29" s="27" t="s">
        <v>247</v>
      </c>
      <c r="D29" s="27" t="s">
        <v>120</v>
      </c>
      <c r="E29" s="27"/>
      <c r="F29" s="27"/>
    </row>
  </sheetData>
  <mergeCells count="5">
    <mergeCell ref="A3:F3"/>
    <mergeCell ref="A11:F11"/>
    <mergeCell ref="A17:F17"/>
    <mergeCell ref="A1:F2"/>
    <mergeCell ref="A21:F2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M35"/>
  <sheetViews>
    <sheetView zoomScale="175" zoomScaleNormal="175" topLeftCell="A19" workbookViewId="0">
      <selection activeCell="G20" sqref="G20:G23"/>
    </sheetView>
  </sheetViews>
  <sheetFormatPr defaultColWidth="9" defaultRowHeight="14"/>
  <cols>
    <col min="1" max="1" width="6.28676470588235" customWidth="1"/>
    <col min="2" max="2" width="19.2867647058824" customWidth="1"/>
    <col min="3" max="3" width="16" customWidth="1"/>
    <col min="4" max="4" width="15.4264705882353" customWidth="1"/>
    <col min="5" max="5" width="16.5735294117647" customWidth="1"/>
    <col min="6" max="6" width="20.8529411764706" customWidth="1"/>
    <col min="7" max="7" width="21.4264705882353" customWidth="1"/>
  </cols>
  <sheetData>
    <row r="1" customFormat="1" spans="1:7">
      <c r="A1" s="144" t="s">
        <v>280</v>
      </c>
      <c r="B1" s="145"/>
      <c r="C1" s="145"/>
      <c r="D1" s="145"/>
      <c r="E1" s="145"/>
      <c r="F1" s="145"/>
      <c r="G1" s="166"/>
    </row>
    <row r="2" ht="29" spans="1:7">
      <c r="A2" s="146" t="s">
        <v>0</v>
      </c>
      <c r="B2" s="147" t="s">
        <v>322</v>
      </c>
      <c r="C2" s="147" t="s">
        <v>65</v>
      </c>
      <c r="D2" s="147" t="s">
        <v>323</v>
      </c>
      <c r="E2" s="147" t="s">
        <v>324</v>
      </c>
      <c r="F2" s="147" t="s">
        <v>325</v>
      </c>
      <c r="G2" s="167" t="s">
        <v>106</v>
      </c>
    </row>
    <row r="3" ht="15" spans="1:7">
      <c r="A3" s="148">
        <v>1</v>
      </c>
      <c r="B3" s="21" t="s">
        <v>326</v>
      </c>
      <c r="C3" s="21" t="s">
        <v>327</v>
      </c>
      <c r="D3" s="149">
        <v>511787.11</v>
      </c>
      <c r="E3" s="21">
        <v>0.86</v>
      </c>
      <c r="F3" s="21" t="s">
        <v>328</v>
      </c>
      <c r="G3" s="168" t="s">
        <v>329</v>
      </c>
    </row>
    <row r="4" ht="15" spans="1:7">
      <c r="A4" s="148">
        <v>2</v>
      </c>
      <c r="B4" s="21" t="s">
        <v>330</v>
      </c>
      <c r="C4" s="21" t="s">
        <v>331</v>
      </c>
      <c r="D4" s="150">
        <v>417154</v>
      </c>
      <c r="E4" s="21">
        <v>0.34</v>
      </c>
      <c r="F4" s="21" t="s">
        <v>332</v>
      </c>
      <c r="G4" s="168" t="s">
        <v>333</v>
      </c>
    </row>
    <row r="5" ht="15" spans="1:7">
      <c r="A5" s="148">
        <v>3</v>
      </c>
      <c r="B5" s="21" t="s">
        <v>334</v>
      </c>
      <c r="C5" s="21" t="s">
        <v>331</v>
      </c>
      <c r="D5" s="149">
        <v>110994</v>
      </c>
      <c r="E5" s="21">
        <v>0.095</v>
      </c>
      <c r="F5" s="21" t="s">
        <v>335</v>
      </c>
      <c r="G5" s="168" t="s">
        <v>336</v>
      </c>
    </row>
    <row r="6" ht="15" spans="1:7">
      <c r="A6" s="148">
        <v>4</v>
      </c>
      <c r="B6" s="21" t="s">
        <v>337</v>
      </c>
      <c r="C6" s="21" t="s">
        <v>338</v>
      </c>
      <c r="D6" s="21" t="s">
        <v>120</v>
      </c>
      <c r="E6" s="21" t="s">
        <v>120</v>
      </c>
      <c r="F6" s="21" t="s">
        <v>339</v>
      </c>
      <c r="G6" s="168" t="s">
        <v>340</v>
      </c>
    </row>
    <row r="7" ht="15" spans="1:7">
      <c r="A7" s="148">
        <v>5</v>
      </c>
      <c r="B7" s="21" t="s">
        <v>341</v>
      </c>
      <c r="C7" s="21" t="s">
        <v>342</v>
      </c>
      <c r="D7" s="21" t="s">
        <v>120</v>
      </c>
      <c r="E7" s="21" t="s">
        <v>120</v>
      </c>
      <c r="F7" s="21" t="s">
        <v>343</v>
      </c>
      <c r="G7" s="168" t="s">
        <v>344</v>
      </c>
    </row>
    <row r="8" ht="15.75" spans="1:7">
      <c r="A8" s="78">
        <v>6</v>
      </c>
      <c r="B8" s="151" t="s">
        <v>345</v>
      </c>
      <c r="C8" s="151" t="s">
        <v>120</v>
      </c>
      <c r="D8" s="151" t="s">
        <v>120</v>
      </c>
      <c r="E8" s="151" t="s">
        <v>120</v>
      </c>
      <c r="F8" s="151"/>
      <c r="G8" s="169"/>
    </row>
    <row r="11" ht="17.55" spans="1:5">
      <c r="A11" s="152" t="s">
        <v>346</v>
      </c>
      <c r="B11" s="152"/>
      <c r="C11" s="152"/>
      <c r="D11" s="152"/>
      <c r="E11" s="170"/>
    </row>
    <row r="12" ht="14.75" spans="1:5">
      <c r="A12" s="153" t="s">
        <v>347</v>
      </c>
      <c r="B12" s="154" t="s">
        <v>348</v>
      </c>
      <c r="C12" s="155" t="s">
        <v>349</v>
      </c>
      <c r="D12" s="156" t="s">
        <v>350</v>
      </c>
      <c r="E12" s="155" t="s">
        <v>351</v>
      </c>
    </row>
    <row r="13" ht="17.55" spans="1:5">
      <c r="A13" s="132">
        <v>2022</v>
      </c>
      <c r="B13" s="157">
        <v>23019859.337</v>
      </c>
      <c r="C13" s="158">
        <v>381341</v>
      </c>
      <c r="D13" s="158">
        <v>18345</v>
      </c>
      <c r="E13" s="165" t="s">
        <v>120</v>
      </c>
    </row>
    <row r="14" ht="17.55" spans="1:5">
      <c r="A14" s="132">
        <v>2023</v>
      </c>
      <c r="B14" s="157">
        <v>21085528</v>
      </c>
      <c r="C14" s="158">
        <v>291619</v>
      </c>
      <c r="D14" s="158">
        <v>229600</v>
      </c>
      <c r="E14" s="165" t="s">
        <v>120</v>
      </c>
    </row>
    <row r="15" ht="17.55" spans="1:5">
      <c r="A15" s="132">
        <v>2024</v>
      </c>
      <c r="B15" s="157">
        <v>11566508</v>
      </c>
      <c r="C15" s="158">
        <v>115890</v>
      </c>
      <c r="D15" s="158">
        <v>10540</v>
      </c>
      <c r="E15" s="165" t="s">
        <v>120</v>
      </c>
    </row>
    <row r="16" ht="17.75" spans="1:5">
      <c r="A16" s="132">
        <v>2025</v>
      </c>
      <c r="B16" s="157">
        <v>1515348</v>
      </c>
      <c r="C16" s="159" t="s">
        <v>352</v>
      </c>
      <c r="D16" s="158">
        <v>241833</v>
      </c>
      <c r="E16" s="165" t="s">
        <v>353</v>
      </c>
    </row>
    <row r="18" ht="20.4" spans="1:1">
      <c r="A18" s="160" t="s">
        <v>354</v>
      </c>
    </row>
    <row r="19" ht="21.15" spans="1:1">
      <c r="A19" s="161" t="s">
        <v>355</v>
      </c>
    </row>
    <row r="20" ht="17.55" spans="1:7">
      <c r="A20" s="162" t="s">
        <v>356</v>
      </c>
      <c r="B20" s="131" t="s">
        <v>357</v>
      </c>
      <c r="C20" s="131" t="s">
        <v>358</v>
      </c>
      <c r="D20" s="131" t="s">
        <v>359</v>
      </c>
      <c r="E20" s="131" t="s">
        <v>360</v>
      </c>
      <c r="F20" s="131" t="s">
        <v>361</v>
      </c>
      <c r="G20" s="131" t="s">
        <v>362</v>
      </c>
    </row>
    <row r="21" ht="17.55" spans="1:7">
      <c r="A21" s="132">
        <v>2022</v>
      </c>
      <c r="B21" s="158">
        <v>1355516.79</v>
      </c>
      <c r="C21" s="158">
        <v>30760</v>
      </c>
      <c r="D21" s="158">
        <v>67775.84</v>
      </c>
      <c r="E21" s="158">
        <v>1256980.95</v>
      </c>
      <c r="F21" s="158">
        <v>2353442.034</v>
      </c>
      <c r="G21" s="165">
        <v>0.534103212</v>
      </c>
    </row>
    <row r="22" ht="17.55" spans="1:7">
      <c r="A22" s="132">
        <v>2023</v>
      </c>
      <c r="B22" s="158">
        <v>1425854.45</v>
      </c>
      <c r="C22" s="158">
        <v>30760</v>
      </c>
      <c r="D22" s="158">
        <v>71292.72</v>
      </c>
      <c r="E22" s="158">
        <v>1323801.73</v>
      </c>
      <c r="F22" s="158">
        <v>2160674.7</v>
      </c>
      <c r="G22" s="165">
        <v>0.612679793</v>
      </c>
    </row>
    <row r="23" ht="17.55" spans="1:7">
      <c r="A23" s="132">
        <v>2024</v>
      </c>
      <c r="B23" s="158">
        <v>949964</v>
      </c>
      <c r="C23" s="158">
        <v>30760</v>
      </c>
      <c r="D23" s="158">
        <v>47498.2</v>
      </c>
      <c r="E23" s="158">
        <v>871705.8</v>
      </c>
      <c r="F23" s="158">
        <v>1169293.8</v>
      </c>
      <c r="G23" s="165">
        <v>0.745497667</v>
      </c>
    </row>
    <row r="24" ht="20.4" spans="1:1">
      <c r="A24" s="160" t="s">
        <v>363</v>
      </c>
    </row>
    <row r="25" ht="21.15" spans="1:1">
      <c r="A25" s="161" t="s">
        <v>364</v>
      </c>
    </row>
    <row r="26" ht="17.55" spans="1:4">
      <c r="A26" s="162" t="s">
        <v>356</v>
      </c>
      <c r="B26" s="163" t="s">
        <v>360</v>
      </c>
      <c r="C26" s="163" t="s">
        <v>365</v>
      </c>
      <c r="D26" s="163" t="s">
        <v>366</v>
      </c>
    </row>
    <row r="27" ht="17.55" spans="1:4">
      <c r="A27" s="132">
        <v>2022</v>
      </c>
      <c r="B27" s="164">
        <v>325530.52</v>
      </c>
      <c r="C27" s="158">
        <v>2353442.034</v>
      </c>
      <c r="D27" s="165">
        <v>0.138</v>
      </c>
    </row>
    <row r="28" ht="17.55" spans="1:13">
      <c r="A28" s="132">
        <v>2023</v>
      </c>
      <c r="B28" s="164">
        <v>421187.52</v>
      </c>
      <c r="C28" s="158">
        <v>2160674.7</v>
      </c>
      <c r="D28" s="165">
        <v>0.195</v>
      </c>
      <c r="M28">
        <f>0.086*10</f>
        <v>0.86</v>
      </c>
    </row>
    <row r="29" ht="17.55" spans="1:4">
      <c r="A29" s="132">
        <v>2024</v>
      </c>
      <c r="B29" s="164">
        <v>399059.52</v>
      </c>
      <c r="C29" s="158">
        <v>1169293.8</v>
      </c>
      <c r="D29" s="165">
        <v>0.341</v>
      </c>
    </row>
    <row r="30" ht="20.4" spans="1:1">
      <c r="A30" s="161"/>
    </row>
    <row r="31" ht="21.15" spans="1:1">
      <c r="A31" s="161" t="s">
        <v>367</v>
      </c>
    </row>
    <row r="32" ht="17.55" spans="1:4">
      <c r="A32" s="162" t="s">
        <v>347</v>
      </c>
      <c r="B32" s="131" t="s">
        <v>247</v>
      </c>
      <c r="C32" s="163" t="s">
        <v>368</v>
      </c>
      <c r="D32" s="163" t="s">
        <v>366</v>
      </c>
    </row>
    <row r="33" ht="17.55" spans="1:4">
      <c r="A33" s="132">
        <v>2022</v>
      </c>
      <c r="B33" s="133">
        <v>162686</v>
      </c>
      <c r="C33" s="158">
        <v>2353442.034</v>
      </c>
      <c r="D33" s="165">
        <v>0.069</v>
      </c>
    </row>
    <row r="34" ht="17.55" spans="1:4">
      <c r="A34" s="132">
        <v>2023</v>
      </c>
      <c r="B34" s="133">
        <v>152495</v>
      </c>
      <c r="C34" s="158">
        <v>2160674.7</v>
      </c>
      <c r="D34" s="165">
        <v>0.071</v>
      </c>
    </row>
    <row r="35" ht="17.55" spans="1:4">
      <c r="A35" s="132">
        <v>2024</v>
      </c>
      <c r="B35" s="133">
        <v>110994</v>
      </c>
      <c r="C35" s="158">
        <v>1169293.8</v>
      </c>
      <c r="D35" s="165">
        <v>0.095</v>
      </c>
    </row>
  </sheetData>
  <mergeCells count="2">
    <mergeCell ref="A1:G1"/>
    <mergeCell ref="A11:D11"/>
  </mergeCell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W72"/>
  <sheetViews>
    <sheetView tabSelected="1" zoomScale="115" zoomScaleNormal="115" workbookViewId="0">
      <selection activeCell="D79" sqref="D79"/>
    </sheetView>
  </sheetViews>
  <sheetFormatPr defaultColWidth="9" defaultRowHeight="14"/>
  <cols>
    <col min="1" max="1" width="18.5735294117647" customWidth="1"/>
    <col min="2" max="2" width="28.7132352941176" customWidth="1"/>
    <col min="3" max="3" width="13.4264705882353" customWidth="1"/>
    <col min="4" max="4" width="13.5735294117647" customWidth="1"/>
    <col min="5" max="5" width="14" customWidth="1"/>
    <col min="6" max="7" width="8.85294117647059" customWidth="1"/>
    <col min="8" max="8" width="28.7132352941176" customWidth="1"/>
    <col min="9" max="9" width="13.4264705882353" customWidth="1"/>
    <col min="10" max="10" width="13.5735294117647" customWidth="1"/>
    <col min="11" max="11" width="8.71323529411765" customWidth="1"/>
    <col min="12" max="12" width="12.8529411764706" customWidth="1"/>
    <col min="13" max="13" width="12.5735294117647" customWidth="1"/>
    <col min="14" max="14" width="13.2867647058824" customWidth="1"/>
    <col min="17" max="17" width="19.5735294117647" customWidth="1"/>
    <col min="18" max="18" width="15.5735294117647" customWidth="1"/>
    <col min="19" max="19" width="14.5735294117647" customWidth="1"/>
    <col min="23" max="23" width="13.1397058823529" customWidth="1"/>
  </cols>
  <sheetData>
    <row r="1" ht="36.75" spans="1:23">
      <c r="A1" s="73" t="s">
        <v>369</v>
      </c>
      <c r="B1" s="74" t="s">
        <v>370</v>
      </c>
      <c r="C1" s="74" t="s">
        <v>371</v>
      </c>
      <c r="D1" s="74" t="s">
        <v>372</v>
      </c>
      <c r="E1" s="74" t="s">
        <v>373</v>
      </c>
      <c r="F1" s="74" t="s">
        <v>374</v>
      </c>
      <c r="G1" s="74" t="s">
        <v>375</v>
      </c>
      <c r="H1" s="74" t="s">
        <v>376</v>
      </c>
      <c r="I1" s="74" t="s">
        <v>377</v>
      </c>
      <c r="J1" s="74" t="s">
        <v>371</v>
      </c>
      <c r="K1" s="74" t="s">
        <v>378</v>
      </c>
      <c r="L1" s="74" t="s">
        <v>379</v>
      </c>
      <c r="M1" s="123" t="s">
        <v>380</v>
      </c>
      <c r="N1" s="74" t="s">
        <v>381</v>
      </c>
      <c r="O1" s="124" t="s">
        <v>382</v>
      </c>
      <c r="R1" s="129" t="s">
        <v>383</v>
      </c>
      <c r="S1" s="130" t="s">
        <v>384</v>
      </c>
      <c r="T1" s="131" t="s">
        <v>385</v>
      </c>
      <c r="U1" s="131" t="s">
        <v>386</v>
      </c>
      <c r="V1" s="131" t="s">
        <v>387</v>
      </c>
      <c r="W1" s="131" t="s">
        <v>388</v>
      </c>
    </row>
    <row r="2" ht="17.55" spans="1:23">
      <c r="A2" s="75" t="s">
        <v>389</v>
      </c>
      <c r="B2" s="76">
        <v>45794.4879513889</v>
      </c>
      <c r="C2" s="32">
        <v>156.4</v>
      </c>
      <c r="D2" s="77">
        <v>0.91</v>
      </c>
      <c r="E2" s="32">
        <v>50</v>
      </c>
      <c r="F2" s="77">
        <v>13.13</v>
      </c>
      <c r="G2" s="32">
        <v>19.4</v>
      </c>
      <c r="H2" s="106">
        <v>1</v>
      </c>
      <c r="I2" s="106" t="s">
        <v>120</v>
      </c>
      <c r="J2" s="32">
        <v>156.4</v>
      </c>
      <c r="K2" s="32">
        <v>50</v>
      </c>
      <c r="L2" s="106" t="s">
        <v>120</v>
      </c>
      <c r="M2" s="1"/>
      <c r="N2" s="19">
        <v>41</v>
      </c>
      <c r="O2" s="125">
        <v>-0.01</v>
      </c>
      <c r="R2" s="132">
        <v>25</v>
      </c>
      <c r="S2" s="133">
        <v>80.5</v>
      </c>
      <c r="T2" s="133">
        <v>71.5</v>
      </c>
      <c r="U2" s="138">
        <v>0.044</v>
      </c>
      <c r="V2" s="133">
        <v>81.6</v>
      </c>
      <c r="W2" s="133">
        <v>72.6</v>
      </c>
    </row>
    <row r="3" ht="17.55" spans="1:23">
      <c r="A3" s="75" t="s">
        <v>389</v>
      </c>
      <c r="B3" s="76">
        <v>45794.5275462963</v>
      </c>
      <c r="C3" s="32">
        <v>222.1</v>
      </c>
      <c r="D3" s="77">
        <v>2.27</v>
      </c>
      <c r="E3" s="32">
        <v>31.5</v>
      </c>
      <c r="F3" s="77">
        <v>5.25</v>
      </c>
      <c r="G3" s="32">
        <v>17</v>
      </c>
      <c r="H3" s="106">
        <v>886</v>
      </c>
      <c r="I3" s="106">
        <v>3371</v>
      </c>
      <c r="J3" s="32">
        <v>222.1</v>
      </c>
      <c r="K3" s="32">
        <v>68.5</v>
      </c>
      <c r="L3" s="106" t="s">
        <v>120</v>
      </c>
      <c r="M3" s="1"/>
      <c r="N3" s="19">
        <v>41</v>
      </c>
      <c r="O3" s="125">
        <v>-0.09</v>
      </c>
      <c r="R3" s="132">
        <v>50</v>
      </c>
      <c r="S3" s="133">
        <v>80.5</v>
      </c>
      <c r="T3" s="133">
        <v>71.5</v>
      </c>
      <c r="U3" s="138">
        <v>0.044</v>
      </c>
      <c r="V3" s="133">
        <v>82.7</v>
      </c>
      <c r="W3" s="133">
        <v>73.7</v>
      </c>
    </row>
    <row r="4" ht="17.55" spans="1:23">
      <c r="A4" s="78" t="s">
        <v>390</v>
      </c>
      <c r="B4" s="79">
        <v>45794.5775694444</v>
      </c>
      <c r="C4" s="34">
        <v>169.6</v>
      </c>
      <c r="D4" s="80">
        <v>3.17</v>
      </c>
      <c r="E4" s="34">
        <v>16.2</v>
      </c>
      <c r="F4" s="80">
        <v>3.75</v>
      </c>
      <c r="G4" s="34">
        <v>15.4</v>
      </c>
      <c r="H4" s="107">
        <v>0</v>
      </c>
      <c r="I4" s="107">
        <v>26</v>
      </c>
      <c r="J4" s="34">
        <v>169.6</v>
      </c>
      <c r="K4" s="34">
        <v>83.8</v>
      </c>
      <c r="L4" s="107" t="s">
        <v>120</v>
      </c>
      <c r="M4" s="99"/>
      <c r="N4" s="126">
        <v>41</v>
      </c>
      <c r="O4" s="127">
        <v>-0.01</v>
      </c>
      <c r="R4" s="132">
        <v>75</v>
      </c>
      <c r="S4" s="133">
        <v>80.5</v>
      </c>
      <c r="T4" s="133">
        <v>71.5</v>
      </c>
      <c r="U4" s="138">
        <v>0.044</v>
      </c>
      <c r="V4" s="133">
        <v>83.8</v>
      </c>
      <c r="W4" s="133">
        <v>74.8</v>
      </c>
    </row>
    <row r="5" ht="17.55" spans="1:23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3"/>
      <c r="R5" s="132">
        <v>100</v>
      </c>
      <c r="S5" s="133">
        <v>80.5</v>
      </c>
      <c r="T5" s="133">
        <v>71.5</v>
      </c>
      <c r="U5" s="138">
        <v>0.044</v>
      </c>
      <c r="V5" s="133">
        <v>84.9</v>
      </c>
      <c r="W5" s="133">
        <v>75.9</v>
      </c>
    </row>
    <row r="6" ht="17.55" spans="1:23">
      <c r="A6" s="81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128"/>
      <c r="N6" s="83"/>
      <c r="O6" s="83"/>
      <c r="R6" s="134" t="s">
        <v>391</v>
      </c>
      <c r="S6" s="135"/>
      <c r="T6" s="135"/>
      <c r="U6" s="135"/>
      <c r="V6" s="135"/>
      <c r="W6" s="139"/>
    </row>
    <row r="7" ht="17.55" spans="1:23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128"/>
      <c r="N7" s="83"/>
      <c r="O7" s="83"/>
      <c r="R7" s="132" t="s">
        <v>392</v>
      </c>
      <c r="S7" s="133"/>
      <c r="T7" s="133"/>
      <c r="U7" s="133"/>
      <c r="V7" s="133"/>
      <c r="W7" s="133"/>
    </row>
    <row r="8" ht="17.55" spans="1:23">
      <c r="A8" s="84" t="s">
        <v>393</v>
      </c>
      <c r="B8" s="85"/>
      <c r="C8" s="85"/>
      <c r="D8" s="85"/>
      <c r="E8" s="108"/>
      <c r="F8" s="109"/>
      <c r="G8" s="84"/>
      <c r="H8" s="85"/>
      <c r="I8" s="85"/>
      <c r="J8" s="85"/>
      <c r="K8" s="108"/>
      <c r="R8" s="132" t="s">
        <v>394</v>
      </c>
      <c r="S8" s="133"/>
      <c r="T8" s="133"/>
      <c r="U8" s="133"/>
      <c r="V8" s="133"/>
      <c r="W8" s="133"/>
    </row>
    <row r="9" ht="21.15" spans="1:23">
      <c r="A9" s="86" t="s">
        <v>395</v>
      </c>
      <c r="B9" s="87"/>
      <c r="C9" s="87"/>
      <c r="D9" s="87"/>
      <c r="E9" s="110"/>
      <c r="G9" s="111" t="s">
        <v>396</v>
      </c>
      <c r="H9" s="112"/>
      <c r="I9" s="112"/>
      <c r="J9" s="112"/>
      <c r="K9" s="121"/>
      <c r="R9" s="136" t="s">
        <v>397</v>
      </c>
      <c r="S9" s="137"/>
      <c r="T9" s="137"/>
      <c r="U9" s="137"/>
      <c r="V9" s="137"/>
      <c r="W9" s="140"/>
    </row>
    <row r="10" ht="16.8" spans="1:11">
      <c r="A10" s="75" t="s">
        <v>0</v>
      </c>
      <c r="B10" s="88" t="s">
        <v>103</v>
      </c>
      <c r="C10" s="88" t="s">
        <v>398</v>
      </c>
      <c r="D10" s="88" t="s">
        <v>104</v>
      </c>
      <c r="E10" s="113" t="s">
        <v>65</v>
      </c>
      <c r="G10" s="75" t="s">
        <v>0</v>
      </c>
      <c r="H10" s="88" t="s">
        <v>103</v>
      </c>
      <c r="I10" s="88" t="s">
        <v>398</v>
      </c>
      <c r="J10" s="88" t="s">
        <v>104</v>
      </c>
      <c r="K10" s="113" t="s">
        <v>65</v>
      </c>
    </row>
    <row r="11" spans="1:11">
      <c r="A11" s="89">
        <v>1</v>
      </c>
      <c r="B11" s="1" t="s">
        <v>399</v>
      </c>
      <c r="C11" s="57" t="s">
        <v>400</v>
      </c>
      <c r="D11" s="57">
        <f>'Ограждающие к-я'!H33</f>
        <v>1272</v>
      </c>
      <c r="E11" s="114" t="s">
        <v>111</v>
      </c>
      <c r="G11" s="89">
        <v>1</v>
      </c>
      <c r="H11" s="1" t="s">
        <v>399</v>
      </c>
      <c r="I11" s="57" t="s">
        <v>400</v>
      </c>
      <c r="J11" s="57">
        <f>D11</f>
        <v>1272</v>
      </c>
      <c r="K11" s="114" t="s">
        <v>111</v>
      </c>
    </row>
    <row r="12" spans="1:11">
      <c r="A12" s="89">
        <v>2</v>
      </c>
      <c r="B12" s="1" t="s">
        <v>401</v>
      </c>
      <c r="C12" s="57" t="s">
        <v>402</v>
      </c>
      <c r="D12" s="57">
        <v>36.7</v>
      </c>
      <c r="E12" s="114" t="s">
        <v>403</v>
      </c>
      <c r="G12" s="89">
        <v>2</v>
      </c>
      <c r="H12" s="1" t="s">
        <v>401</v>
      </c>
      <c r="I12" s="57" t="s">
        <v>402</v>
      </c>
      <c r="J12" s="57">
        <v>36.7</v>
      </c>
      <c r="K12" s="114" t="s">
        <v>403</v>
      </c>
    </row>
    <row r="13" spans="1:11">
      <c r="A13" s="89">
        <v>3</v>
      </c>
      <c r="B13" s="1" t="s">
        <v>404</v>
      </c>
      <c r="C13" s="57" t="s">
        <v>405</v>
      </c>
      <c r="D13" s="57">
        <v>23</v>
      </c>
      <c r="E13" s="114" t="s">
        <v>406</v>
      </c>
      <c r="G13" s="89">
        <v>3</v>
      </c>
      <c r="H13" s="1" t="s">
        <v>404</v>
      </c>
      <c r="I13" s="57" t="s">
        <v>405</v>
      </c>
      <c r="J13" s="57">
        <v>23</v>
      </c>
      <c r="K13" s="114" t="s">
        <v>406</v>
      </c>
    </row>
    <row r="14" spans="1:11">
      <c r="A14" s="89">
        <v>4</v>
      </c>
      <c r="B14" s="1" t="s">
        <v>407</v>
      </c>
      <c r="C14" s="57" t="s">
        <v>408</v>
      </c>
      <c r="D14" s="57">
        <v>140</v>
      </c>
      <c r="E14" s="114" t="s">
        <v>409</v>
      </c>
      <c r="G14" s="89">
        <v>4</v>
      </c>
      <c r="H14" s="1" t="s">
        <v>407</v>
      </c>
      <c r="I14" s="57" t="s">
        <v>408</v>
      </c>
      <c r="J14" s="57">
        <v>140</v>
      </c>
      <c r="K14" s="114" t="s">
        <v>409</v>
      </c>
    </row>
    <row r="15" spans="1:11">
      <c r="A15" s="89">
        <v>5</v>
      </c>
      <c r="B15" s="1" t="s">
        <v>410</v>
      </c>
      <c r="C15" s="57" t="s">
        <v>411</v>
      </c>
      <c r="D15" s="57">
        <v>0.85</v>
      </c>
      <c r="E15" s="114" t="s">
        <v>116</v>
      </c>
      <c r="G15" s="89">
        <v>5</v>
      </c>
      <c r="H15" s="1" t="s">
        <v>410</v>
      </c>
      <c r="I15" s="57" t="s">
        <v>411</v>
      </c>
      <c r="J15" s="57">
        <v>0.85</v>
      </c>
      <c r="K15" s="114" t="s">
        <v>116</v>
      </c>
    </row>
    <row r="16" spans="1:11">
      <c r="A16" s="89">
        <v>6</v>
      </c>
      <c r="B16" s="1" t="s">
        <v>412</v>
      </c>
      <c r="C16" s="57" t="s">
        <v>413</v>
      </c>
      <c r="D16" s="57">
        <v>8</v>
      </c>
      <c r="E16" s="114" t="s">
        <v>414</v>
      </c>
      <c r="G16" s="89">
        <v>6</v>
      </c>
      <c r="H16" s="1" t="s">
        <v>412</v>
      </c>
      <c r="I16" s="57" t="s">
        <v>413</v>
      </c>
      <c r="J16" s="57">
        <v>8</v>
      </c>
      <c r="K16" s="114" t="s">
        <v>414</v>
      </c>
    </row>
    <row r="17" spans="1:11">
      <c r="A17" s="89">
        <v>7</v>
      </c>
      <c r="B17" s="1" t="s">
        <v>415</v>
      </c>
      <c r="C17" s="57"/>
      <c r="D17" s="90">
        <f>D11*D12*D13</f>
        <v>1073695.2</v>
      </c>
      <c r="E17" s="114" t="s">
        <v>416</v>
      </c>
      <c r="G17" s="89">
        <v>7</v>
      </c>
      <c r="H17" s="1" t="s">
        <v>415</v>
      </c>
      <c r="I17" s="57"/>
      <c r="J17" s="90">
        <f>J11*J12*J13</f>
        <v>1073695.2</v>
      </c>
      <c r="K17" s="114" t="s">
        <v>416</v>
      </c>
    </row>
    <row r="18" spans="1:11">
      <c r="A18" s="89">
        <v>8</v>
      </c>
      <c r="B18" s="1" t="s">
        <v>417</v>
      </c>
      <c r="C18" s="57"/>
      <c r="D18" s="90">
        <v>26.88</v>
      </c>
      <c r="E18" s="114" t="s">
        <v>327</v>
      </c>
      <c r="G18" s="89">
        <v>8</v>
      </c>
      <c r="H18" s="1" t="s">
        <v>417</v>
      </c>
      <c r="I18" s="57"/>
      <c r="J18" s="90">
        <v>26.88</v>
      </c>
      <c r="K18" s="114" t="s">
        <v>327</v>
      </c>
    </row>
    <row r="19" spans="1:11">
      <c r="A19" s="89">
        <v>9</v>
      </c>
      <c r="B19" s="1" t="s">
        <v>418</v>
      </c>
      <c r="C19" s="57"/>
      <c r="D19" s="90">
        <f>D17/(D15*D14)</f>
        <v>9022.6487394958</v>
      </c>
      <c r="E19" s="114" t="s">
        <v>331</v>
      </c>
      <c r="G19" s="89">
        <v>9</v>
      </c>
      <c r="H19" s="1" t="s">
        <v>418</v>
      </c>
      <c r="I19" s="57"/>
      <c r="J19" s="90">
        <f>J17/(J15*J14)</f>
        <v>9022.6487394958</v>
      </c>
      <c r="K19" s="114" t="s">
        <v>331</v>
      </c>
    </row>
    <row r="20" spans="1:11">
      <c r="A20" s="89">
        <v>10</v>
      </c>
      <c r="B20" s="1" t="s">
        <v>419</v>
      </c>
      <c r="C20" s="1"/>
      <c r="D20" s="91">
        <f>D19/D11</f>
        <v>7.09327731092437</v>
      </c>
      <c r="E20" s="114" t="s">
        <v>111</v>
      </c>
      <c r="G20" s="89">
        <v>10</v>
      </c>
      <c r="H20" s="1" t="s">
        <v>419</v>
      </c>
      <c r="I20" s="1"/>
      <c r="J20" s="91">
        <f>J19/J11</f>
        <v>7.09327731092437</v>
      </c>
      <c r="K20" s="114" t="s">
        <v>111</v>
      </c>
    </row>
    <row r="21" ht="20.4" spans="1:11">
      <c r="A21" s="86" t="s">
        <v>420</v>
      </c>
      <c r="B21" s="87"/>
      <c r="C21" s="87"/>
      <c r="D21" s="87"/>
      <c r="E21" s="110"/>
      <c r="G21" s="111" t="s">
        <v>420</v>
      </c>
      <c r="H21" s="112"/>
      <c r="I21" s="112"/>
      <c r="J21" s="112"/>
      <c r="K21" s="121"/>
    </row>
    <row r="22" ht="16.8" spans="1:11">
      <c r="A22" s="75" t="s">
        <v>0</v>
      </c>
      <c r="B22" s="88" t="s">
        <v>103</v>
      </c>
      <c r="C22" s="88" t="s">
        <v>398</v>
      </c>
      <c r="D22" s="88" t="s">
        <v>104</v>
      </c>
      <c r="E22" s="113" t="s">
        <v>65</v>
      </c>
      <c r="G22" s="75" t="s">
        <v>0</v>
      </c>
      <c r="H22" s="88" t="s">
        <v>103</v>
      </c>
      <c r="I22" s="88" t="s">
        <v>398</v>
      </c>
      <c r="J22" s="88" t="s">
        <v>104</v>
      </c>
      <c r="K22" s="113" t="s">
        <v>65</v>
      </c>
    </row>
    <row r="23" spans="1:11">
      <c r="A23" s="75">
        <v>1</v>
      </c>
      <c r="B23" s="1" t="s">
        <v>399</v>
      </c>
      <c r="C23" s="57" t="s">
        <v>400</v>
      </c>
      <c r="D23" s="57">
        <f>D11</f>
        <v>1272</v>
      </c>
      <c r="E23" s="115" t="s">
        <v>111</v>
      </c>
      <c r="G23" s="75">
        <v>1</v>
      </c>
      <c r="H23" s="1" t="s">
        <v>399</v>
      </c>
      <c r="I23" s="57" t="s">
        <v>400</v>
      </c>
      <c r="J23" s="57">
        <f>J11</f>
        <v>1272</v>
      </c>
      <c r="K23" s="115" t="s">
        <v>111</v>
      </c>
    </row>
    <row r="24" spans="1:11">
      <c r="A24" s="75">
        <v>2</v>
      </c>
      <c r="B24" s="1" t="s">
        <v>421</v>
      </c>
      <c r="C24" s="57" t="s">
        <v>422</v>
      </c>
      <c r="D24" s="57">
        <v>3</v>
      </c>
      <c r="E24" s="115" t="s">
        <v>181</v>
      </c>
      <c r="G24" s="75">
        <v>2</v>
      </c>
      <c r="H24" s="1" t="s">
        <v>421</v>
      </c>
      <c r="I24" s="57" t="s">
        <v>422</v>
      </c>
      <c r="J24" s="57">
        <v>3</v>
      </c>
      <c r="K24" s="115" t="s">
        <v>181</v>
      </c>
    </row>
    <row r="25" spans="1:11">
      <c r="A25" s="75">
        <v>3</v>
      </c>
      <c r="B25" s="1" t="s">
        <v>423</v>
      </c>
      <c r="C25" s="57" t="s">
        <v>424</v>
      </c>
      <c r="D25" s="57">
        <f>D23*D24</f>
        <v>3816</v>
      </c>
      <c r="E25" s="115" t="s">
        <v>331</v>
      </c>
      <c r="G25" s="75">
        <v>3</v>
      </c>
      <c r="H25" s="1" t="s">
        <v>423</v>
      </c>
      <c r="I25" s="57" t="s">
        <v>424</v>
      </c>
      <c r="J25" s="57">
        <f>J23*J24</f>
        <v>3816</v>
      </c>
      <c r="K25" s="115" t="s">
        <v>331</v>
      </c>
    </row>
    <row r="26" spans="1:11">
      <c r="A26" s="75">
        <v>4</v>
      </c>
      <c r="B26" s="1" t="s">
        <v>401</v>
      </c>
      <c r="C26" s="57" t="s">
        <v>402</v>
      </c>
      <c r="D26" s="92">
        <f>D12/6</f>
        <v>6.11666666666667</v>
      </c>
      <c r="E26" s="115" t="s">
        <v>425</v>
      </c>
      <c r="G26" s="75">
        <v>4</v>
      </c>
      <c r="H26" s="1" t="s">
        <v>401</v>
      </c>
      <c r="I26" s="57" t="s">
        <v>402</v>
      </c>
      <c r="J26" s="92">
        <f>D26</f>
        <v>6.11666666666667</v>
      </c>
      <c r="K26" s="115" t="s">
        <v>425</v>
      </c>
    </row>
    <row r="27" spans="1:11">
      <c r="A27" s="75">
        <v>5</v>
      </c>
      <c r="B27" s="1" t="s">
        <v>404</v>
      </c>
      <c r="C27" s="57" t="s">
        <v>405</v>
      </c>
      <c r="D27" s="57">
        <v>23</v>
      </c>
      <c r="E27" s="115" t="s">
        <v>406</v>
      </c>
      <c r="G27" s="75">
        <v>5</v>
      </c>
      <c r="H27" s="1" t="s">
        <v>404</v>
      </c>
      <c r="I27" s="57" t="s">
        <v>405</v>
      </c>
      <c r="J27" s="57">
        <v>23</v>
      </c>
      <c r="K27" s="115" t="s">
        <v>406</v>
      </c>
    </row>
    <row r="28" spans="1:11">
      <c r="A28" s="75">
        <v>6</v>
      </c>
      <c r="B28" s="1" t="s">
        <v>407</v>
      </c>
      <c r="C28" s="57" t="s">
        <v>408</v>
      </c>
      <c r="D28" s="57">
        <v>140</v>
      </c>
      <c r="E28" s="115" t="s">
        <v>409</v>
      </c>
      <c r="G28" s="75">
        <v>6</v>
      </c>
      <c r="H28" s="1" t="s">
        <v>407</v>
      </c>
      <c r="I28" s="57" t="s">
        <v>408</v>
      </c>
      <c r="J28" s="57">
        <v>140</v>
      </c>
      <c r="K28" s="115" t="s">
        <v>409</v>
      </c>
    </row>
    <row r="29" spans="1:11">
      <c r="A29" s="75">
        <v>7</v>
      </c>
      <c r="B29" s="1" t="s">
        <v>410</v>
      </c>
      <c r="C29" s="57" t="s">
        <v>411</v>
      </c>
      <c r="D29" s="57">
        <v>0.85</v>
      </c>
      <c r="E29" s="115" t="s">
        <v>116</v>
      </c>
      <c r="G29" s="75">
        <v>7</v>
      </c>
      <c r="H29" s="1" t="s">
        <v>410</v>
      </c>
      <c r="I29" s="57" t="s">
        <v>411</v>
      </c>
      <c r="J29" s="57">
        <v>0.85</v>
      </c>
      <c r="K29" s="115" t="s">
        <v>116</v>
      </c>
    </row>
    <row r="30" spans="1:11">
      <c r="A30" s="75">
        <v>8</v>
      </c>
      <c r="B30" s="1" t="s">
        <v>412</v>
      </c>
      <c r="C30" s="57" t="s">
        <v>413</v>
      </c>
      <c r="D30" s="57">
        <v>8</v>
      </c>
      <c r="E30" s="115" t="s">
        <v>414</v>
      </c>
      <c r="G30" s="75">
        <v>8</v>
      </c>
      <c r="H30" s="1" t="s">
        <v>412</v>
      </c>
      <c r="I30" s="57" t="s">
        <v>413</v>
      </c>
      <c r="J30" s="57">
        <v>8</v>
      </c>
      <c r="K30" s="115" t="s">
        <v>414</v>
      </c>
    </row>
    <row r="31" spans="1:11">
      <c r="A31" s="75">
        <v>9</v>
      </c>
      <c r="B31" s="1" t="s">
        <v>415</v>
      </c>
      <c r="C31" s="57"/>
      <c r="D31" s="93">
        <f>D25*D26*D27</f>
        <v>536847.6</v>
      </c>
      <c r="E31" s="115" t="s">
        <v>416</v>
      </c>
      <c r="G31" s="75">
        <v>9</v>
      </c>
      <c r="H31" s="1" t="s">
        <v>415</v>
      </c>
      <c r="I31" s="57"/>
      <c r="J31" s="93">
        <f>J25*J26*J27</f>
        <v>536847.6</v>
      </c>
      <c r="K31" s="115" t="s">
        <v>416</v>
      </c>
    </row>
    <row r="32" spans="1:11">
      <c r="A32" s="75">
        <v>10</v>
      </c>
      <c r="B32" s="1" t="s">
        <v>417</v>
      </c>
      <c r="C32" s="57"/>
      <c r="D32" s="93">
        <f>D30*24*D28/1000</f>
        <v>26.88</v>
      </c>
      <c r="E32" s="115" t="s">
        <v>327</v>
      </c>
      <c r="G32" s="75">
        <v>10</v>
      </c>
      <c r="H32" s="1" t="s">
        <v>417</v>
      </c>
      <c r="I32" s="57"/>
      <c r="J32" s="93">
        <f>J30*24*J28/1000</f>
        <v>26.88</v>
      </c>
      <c r="K32" s="115" t="s">
        <v>327</v>
      </c>
    </row>
    <row r="33" spans="1:11">
      <c r="A33" s="75">
        <v>11</v>
      </c>
      <c r="B33" s="1" t="s">
        <v>418</v>
      </c>
      <c r="C33" s="57"/>
      <c r="D33" s="93">
        <f>D31/(D29*D28)</f>
        <v>4511.3243697479</v>
      </c>
      <c r="E33" s="115" t="s">
        <v>331</v>
      </c>
      <c r="G33" s="75">
        <v>11</v>
      </c>
      <c r="H33" s="1" t="s">
        <v>418</v>
      </c>
      <c r="I33" s="57"/>
      <c r="J33" s="93">
        <f>J31/(J29*J28)</f>
        <v>4511.3243697479</v>
      </c>
      <c r="K33" s="115" t="s">
        <v>331</v>
      </c>
    </row>
    <row r="34" spans="1:11">
      <c r="A34" s="89">
        <v>12</v>
      </c>
      <c r="B34" s="1" t="s">
        <v>426</v>
      </c>
      <c r="C34" s="1"/>
      <c r="D34" s="91">
        <f>D33/D25</f>
        <v>1.18221288515406</v>
      </c>
      <c r="E34" s="115" t="s">
        <v>331</v>
      </c>
      <c r="G34" s="89">
        <v>12</v>
      </c>
      <c r="H34" s="1" t="s">
        <v>426</v>
      </c>
      <c r="I34" s="1"/>
      <c r="J34" s="91">
        <f>J33/J25</f>
        <v>1.18221288515406</v>
      </c>
      <c r="K34" s="115" t="s">
        <v>331</v>
      </c>
    </row>
    <row r="35" spans="1:11">
      <c r="A35" s="94"/>
      <c r="B35" s="81"/>
      <c r="C35" s="81"/>
      <c r="D35" s="81"/>
      <c r="E35" s="116"/>
      <c r="G35" s="94"/>
      <c r="H35" s="81"/>
      <c r="I35" s="81"/>
      <c r="J35" s="81"/>
      <c r="K35" s="116"/>
    </row>
    <row r="36" spans="1:11">
      <c r="A36" s="95"/>
      <c r="B36" s="57" t="s">
        <v>427</v>
      </c>
      <c r="C36" s="57"/>
      <c r="D36" s="1" t="s">
        <v>428</v>
      </c>
      <c r="E36" s="117" t="s">
        <v>429</v>
      </c>
      <c r="G36" s="94"/>
      <c r="H36" s="81"/>
      <c r="I36" s="81"/>
      <c r="J36" s="81"/>
      <c r="K36" s="116"/>
    </row>
    <row r="37" ht="14.75" spans="1:11">
      <c r="A37" s="96">
        <v>1</v>
      </c>
      <c r="B37" s="97" t="s">
        <v>111</v>
      </c>
      <c r="C37" s="98" t="s">
        <v>430</v>
      </c>
      <c r="D37" s="99">
        <v>7.1</v>
      </c>
      <c r="E37" s="118">
        <v>0</v>
      </c>
      <c r="G37" s="119"/>
      <c r="H37" s="120"/>
      <c r="I37" s="120"/>
      <c r="J37" s="120"/>
      <c r="K37" s="122"/>
    </row>
    <row r="38" spans="1:5">
      <c r="A38" s="100">
        <v>2</v>
      </c>
      <c r="B38" s="100" t="s">
        <v>331</v>
      </c>
      <c r="C38" s="101" t="s">
        <v>431</v>
      </c>
      <c r="D38" s="102">
        <v>1.2</v>
      </c>
      <c r="E38" s="102">
        <v>0</v>
      </c>
    </row>
    <row r="39" spans="1:3">
      <c r="A39" t="s">
        <v>432</v>
      </c>
      <c r="C39" s="103">
        <f>D19-J19</f>
        <v>0</v>
      </c>
    </row>
    <row r="40" ht="14.75"/>
    <row r="41" spans="1:11">
      <c r="A41" s="104" t="s">
        <v>433</v>
      </c>
      <c r="B41" s="104"/>
      <c r="C41" s="104"/>
      <c r="D41" s="104"/>
      <c r="E41" s="104"/>
      <c r="F41" s="109"/>
      <c r="G41" s="84"/>
      <c r="H41" s="85"/>
      <c r="I41" s="85"/>
      <c r="J41" s="85"/>
      <c r="K41" s="108"/>
    </row>
    <row r="42" ht="20.4" spans="1:11">
      <c r="A42" s="105" t="s">
        <v>395</v>
      </c>
      <c r="B42" s="105"/>
      <c r="C42" s="105"/>
      <c r="D42" s="105"/>
      <c r="E42" s="105"/>
      <c r="G42" s="111" t="s">
        <v>396</v>
      </c>
      <c r="H42" s="112"/>
      <c r="I42" s="112"/>
      <c r="J42" s="112"/>
      <c r="K42" s="121"/>
    </row>
    <row r="43" ht="16.8" spans="1:11">
      <c r="A43" s="19" t="s">
        <v>0</v>
      </c>
      <c r="B43" s="88" t="s">
        <v>103</v>
      </c>
      <c r="C43" s="88" t="s">
        <v>398</v>
      </c>
      <c r="D43" s="88" t="s">
        <v>104</v>
      </c>
      <c r="E43" s="88" t="s">
        <v>65</v>
      </c>
      <c r="G43" s="75" t="s">
        <v>0</v>
      </c>
      <c r="H43" s="88" t="s">
        <v>103</v>
      </c>
      <c r="I43" s="88" t="s">
        <v>398</v>
      </c>
      <c r="J43" s="88" t="s">
        <v>104</v>
      </c>
      <c r="K43" s="113" t="s">
        <v>65</v>
      </c>
    </row>
    <row r="44" spans="1:11">
      <c r="A44" s="57">
        <v>1</v>
      </c>
      <c r="B44" s="1" t="s">
        <v>399</v>
      </c>
      <c r="C44" s="57" t="s">
        <v>400</v>
      </c>
      <c r="D44" s="57">
        <f>'Ограждающие к-я'!H42</f>
        <v>630</v>
      </c>
      <c r="E44" s="19" t="s">
        <v>111</v>
      </c>
      <c r="G44" s="89">
        <v>1</v>
      </c>
      <c r="H44" s="1" t="s">
        <v>399</v>
      </c>
      <c r="I44" s="57" t="s">
        <v>400</v>
      </c>
      <c r="J44" s="57">
        <f>D44</f>
        <v>630</v>
      </c>
      <c r="K44" s="114" t="s">
        <v>111</v>
      </c>
    </row>
    <row r="45" spans="1:11">
      <c r="A45" s="57">
        <v>2</v>
      </c>
      <c r="B45" s="1" t="s">
        <v>401</v>
      </c>
      <c r="C45" s="57" t="s">
        <v>402</v>
      </c>
      <c r="D45" s="57">
        <v>45.8</v>
      </c>
      <c r="E45" s="19" t="s">
        <v>403</v>
      </c>
      <c r="G45" s="89">
        <v>2</v>
      </c>
      <c r="H45" s="1" t="s">
        <v>401</v>
      </c>
      <c r="I45" s="57" t="s">
        <v>402</v>
      </c>
      <c r="J45" s="57">
        <v>45.8</v>
      </c>
      <c r="K45" s="114" t="s">
        <v>403</v>
      </c>
    </row>
    <row r="46" spans="1:11">
      <c r="A46" s="57">
        <v>3</v>
      </c>
      <c r="B46" s="1" t="s">
        <v>404</v>
      </c>
      <c r="C46" s="57" t="s">
        <v>405</v>
      </c>
      <c r="D46" s="57">
        <v>23</v>
      </c>
      <c r="E46" s="19" t="s">
        <v>406</v>
      </c>
      <c r="G46" s="89">
        <v>3</v>
      </c>
      <c r="H46" s="1" t="s">
        <v>404</v>
      </c>
      <c r="I46" s="57" t="s">
        <v>405</v>
      </c>
      <c r="J46" s="57">
        <v>23</v>
      </c>
      <c r="K46" s="114" t="s">
        <v>406</v>
      </c>
    </row>
    <row r="47" spans="1:11">
      <c r="A47" s="57">
        <v>4</v>
      </c>
      <c r="B47" s="1" t="s">
        <v>407</v>
      </c>
      <c r="C47" s="57" t="s">
        <v>408</v>
      </c>
      <c r="D47" s="57">
        <v>140</v>
      </c>
      <c r="E47" s="19" t="s">
        <v>409</v>
      </c>
      <c r="G47" s="89">
        <v>4</v>
      </c>
      <c r="H47" s="1" t="s">
        <v>407</v>
      </c>
      <c r="I47" s="57" t="s">
        <v>408</v>
      </c>
      <c r="J47" s="57">
        <v>140</v>
      </c>
      <c r="K47" s="114" t="s">
        <v>409</v>
      </c>
    </row>
    <row r="48" spans="1:11">
      <c r="A48" s="57">
        <v>5</v>
      </c>
      <c r="B48" s="1" t="s">
        <v>410</v>
      </c>
      <c r="C48" s="57" t="s">
        <v>411</v>
      </c>
      <c r="D48" s="57">
        <v>0.87</v>
      </c>
      <c r="E48" s="19" t="s">
        <v>116</v>
      </c>
      <c r="G48" s="89">
        <v>5</v>
      </c>
      <c r="H48" s="1" t="s">
        <v>410</v>
      </c>
      <c r="I48" s="57" t="s">
        <v>411</v>
      </c>
      <c r="J48" s="57">
        <v>0.85</v>
      </c>
      <c r="K48" s="114" t="s">
        <v>116</v>
      </c>
    </row>
    <row r="49" spans="1:11">
      <c r="A49" s="57">
        <v>6</v>
      </c>
      <c r="B49" s="1" t="s">
        <v>412</v>
      </c>
      <c r="C49" s="57" t="s">
        <v>413</v>
      </c>
      <c r="D49" s="57">
        <v>8</v>
      </c>
      <c r="E49" s="19" t="s">
        <v>414</v>
      </c>
      <c r="G49" s="89">
        <v>6</v>
      </c>
      <c r="H49" s="1" t="s">
        <v>412</v>
      </c>
      <c r="I49" s="57" t="s">
        <v>413</v>
      </c>
      <c r="J49" s="57">
        <v>8</v>
      </c>
      <c r="K49" s="114" t="s">
        <v>414</v>
      </c>
    </row>
    <row r="50" spans="1:11">
      <c r="A50" s="57">
        <v>7</v>
      </c>
      <c r="B50" s="1" t="s">
        <v>415</v>
      </c>
      <c r="C50" s="57"/>
      <c r="D50" s="90">
        <f>D44*D45*D46</f>
        <v>663642</v>
      </c>
      <c r="E50" s="19" t="s">
        <v>416</v>
      </c>
      <c r="G50" s="89">
        <v>7</v>
      </c>
      <c r="H50" s="1" t="s">
        <v>415</v>
      </c>
      <c r="I50" s="57"/>
      <c r="J50" s="90">
        <f>J44*J45*J46</f>
        <v>663642</v>
      </c>
      <c r="K50" s="114" t="s">
        <v>416</v>
      </c>
    </row>
    <row r="51" spans="1:11">
      <c r="A51" s="57">
        <v>8</v>
      </c>
      <c r="B51" s="1" t="s">
        <v>417</v>
      </c>
      <c r="C51" s="57"/>
      <c r="D51" s="90">
        <v>26.88</v>
      </c>
      <c r="E51" s="19" t="s">
        <v>327</v>
      </c>
      <c r="G51" s="89">
        <v>8</v>
      </c>
      <c r="H51" s="1" t="s">
        <v>417</v>
      </c>
      <c r="I51" s="57"/>
      <c r="J51" s="90">
        <v>26.88</v>
      </c>
      <c r="K51" s="114" t="s">
        <v>327</v>
      </c>
    </row>
    <row r="52" spans="1:11">
      <c r="A52" s="57">
        <v>9</v>
      </c>
      <c r="B52" s="1" t="s">
        <v>418</v>
      </c>
      <c r="C52" s="57"/>
      <c r="D52" s="90">
        <f>D50/(D48*D47)</f>
        <v>5448.62068965517</v>
      </c>
      <c r="E52" s="19" t="s">
        <v>331</v>
      </c>
      <c r="G52" s="89">
        <v>9</v>
      </c>
      <c r="H52" s="1" t="s">
        <v>418</v>
      </c>
      <c r="I52" s="57"/>
      <c r="J52" s="90">
        <f>J50/(J48*J47)</f>
        <v>5576.82352941176</v>
      </c>
      <c r="K52" s="114" t="s">
        <v>331</v>
      </c>
    </row>
    <row r="53" spans="1:11">
      <c r="A53" s="57">
        <v>10</v>
      </c>
      <c r="B53" s="1" t="s">
        <v>419</v>
      </c>
      <c r="C53" s="1"/>
      <c r="D53" s="91">
        <f>D52/D44</f>
        <v>8.64860426929392</v>
      </c>
      <c r="E53" s="19" t="s">
        <v>111</v>
      </c>
      <c r="G53" s="89">
        <v>10</v>
      </c>
      <c r="H53" s="1" t="s">
        <v>419</v>
      </c>
      <c r="I53" s="1"/>
      <c r="J53" s="91">
        <f>J52/J44</f>
        <v>8.85210084033613</v>
      </c>
      <c r="K53" s="114" t="s">
        <v>111</v>
      </c>
    </row>
    <row r="54" ht="20.4" spans="1:11">
      <c r="A54" s="105" t="s">
        <v>420</v>
      </c>
      <c r="B54" s="105"/>
      <c r="C54" s="105"/>
      <c r="D54" s="105"/>
      <c r="E54" s="105"/>
      <c r="G54" s="111" t="s">
        <v>420</v>
      </c>
      <c r="H54" s="112"/>
      <c r="I54" s="112"/>
      <c r="J54" s="112"/>
      <c r="K54" s="121"/>
    </row>
    <row r="55" ht="16.8" spans="1:11">
      <c r="A55" s="19" t="s">
        <v>0</v>
      </c>
      <c r="B55" s="88" t="s">
        <v>103</v>
      </c>
      <c r="C55" s="88" t="s">
        <v>398</v>
      </c>
      <c r="D55" s="88" t="s">
        <v>104</v>
      </c>
      <c r="E55" s="88" t="s">
        <v>65</v>
      </c>
      <c r="G55" s="75" t="s">
        <v>0</v>
      </c>
      <c r="H55" s="88" t="s">
        <v>103</v>
      </c>
      <c r="I55" s="88" t="s">
        <v>398</v>
      </c>
      <c r="J55" s="88" t="s">
        <v>104</v>
      </c>
      <c r="K55" s="113" t="s">
        <v>65</v>
      </c>
    </row>
    <row r="56" spans="1:11">
      <c r="A56" s="19">
        <v>1</v>
      </c>
      <c r="B56" s="1" t="s">
        <v>399</v>
      </c>
      <c r="C56" s="57" t="s">
        <v>400</v>
      </c>
      <c r="D56" s="57">
        <f>D44</f>
        <v>630</v>
      </c>
      <c r="E56" s="57" t="s">
        <v>111</v>
      </c>
      <c r="G56" s="75">
        <v>1</v>
      </c>
      <c r="H56" s="1" t="s">
        <v>399</v>
      </c>
      <c r="I56" s="57" t="s">
        <v>400</v>
      </c>
      <c r="J56" s="57">
        <f>J44</f>
        <v>630</v>
      </c>
      <c r="K56" s="115" t="s">
        <v>111</v>
      </c>
    </row>
    <row r="57" spans="1:11">
      <c r="A57" s="19">
        <v>2</v>
      </c>
      <c r="B57" s="1" t="s">
        <v>421</v>
      </c>
      <c r="C57" s="57" t="s">
        <v>422</v>
      </c>
      <c r="D57" s="57">
        <v>3</v>
      </c>
      <c r="E57" s="57" t="s">
        <v>181</v>
      </c>
      <c r="G57" s="75">
        <v>2</v>
      </c>
      <c r="H57" s="1" t="s">
        <v>421</v>
      </c>
      <c r="I57" s="57" t="s">
        <v>422</v>
      </c>
      <c r="J57" s="57">
        <v>3</v>
      </c>
      <c r="K57" s="115" t="s">
        <v>181</v>
      </c>
    </row>
    <row r="58" spans="1:11">
      <c r="A58" s="19">
        <v>3</v>
      </c>
      <c r="B58" s="1" t="s">
        <v>423</v>
      </c>
      <c r="C58" s="57" t="s">
        <v>424</v>
      </c>
      <c r="D58" s="57">
        <f>D56*D57</f>
        <v>1890</v>
      </c>
      <c r="E58" s="57" t="s">
        <v>331</v>
      </c>
      <c r="G58" s="75">
        <v>3</v>
      </c>
      <c r="H58" s="1" t="s">
        <v>423</v>
      </c>
      <c r="I58" s="57" t="s">
        <v>424</v>
      </c>
      <c r="J58" s="57">
        <f>J56*J57</f>
        <v>1890</v>
      </c>
      <c r="K58" s="115" t="s">
        <v>331</v>
      </c>
    </row>
    <row r="59" spans="1:11">
      <c r="A59" s="19">
        <v>4</v>
      </c>
      <c r="B59" s="1" t="s">
        <v>401</v>
      </c>
      <c r="C59" s="57" t="s">
        <v>402</v>
      </c>
      <c r="D59" s="92">
        <f>D45/6</f>
        <v>7.63333333333333</v>
      </c>
      <c r="E59" s="57" t="s">
        <v>425</v>
      </c>
      <c r="G59" s="75">
        <v>4</v>
      </c>
      <c r="H59" s="1" t="s">
        <v>401</v>
      </c>
      <c r="I59" s="57" t="s">
        <v>402</v>
      </c>
      <c r="J59" s="92">
        <f>J45/6</f>
        <v>7.63333333333333</v>
      </c>
      <c r="K59" s="115" t="s">
        <v>425</v>
      </c>
    </row>
    <row r="60" spans="1:11">
      <c r="A60" s="19">
        <v>5</v>
      </c>
      <c r="B60" s="1" t="s">
        <v>404</v>
      </c>
      <c r="C60" s="57" t="s">
        <v>405</v>
      </c>
      <c r="D60" s="57">
        <v>18</v>
      </c>
      <c r="E60" s="57" t="s">
        <v>406</v>
      </c>
      <c r="G60" s="75">
        <v>5</v>
      </c>
      <c r="H60" s="1" t="s">
        <v>404</v>
      </c>
      <c r="I60" s="57" t="s">
        <v>405</v>
      </c>
      <c r="J60" s="57">
        <v>18</v>
      </c>
      <c r="K60" s="115" t="s">
        <v>406</v>
      </c>
    </row>
    <row r="61" spans="1:11">
      <c r="A61" s="19">
        <v>6</v>
      </c>
      <c r="B61" s="1" t="s">
        <v>407</v>
      </c>
      <c r="C61" s="57" t="s">
        <v>408</v>
      </c>
      <c r="D61" s="57">
        <v>140</v>
      </c>
      <c r="E61" s="57" t="s">
        <v>409</v>
      </c>
      <c r="G61" s="75">
        <v>6</v>
      </c>
      <c r="H61" s="1" t="s">
        <v>407</v>
      </c>
      <c r="I61" s="57" t="s">
        <v>408</v>
      </c>
      <c r="J61" s="57">
        <v>140</v>
      </c>
      <c r="K61" s="115" t="s">
        <v>409</v>
      </c>
    </row>
    <row r="62" spans="1:11">
      <c r="A62" s="19">
        <v>7</v>
      </c>
      <c r="B62" s="1" t="s">
        <v>410</v>
      </c>
      <c r="C62" s="57" t="s">
        <v>411</v>
      </c>
      <c r="D62" s="57">
        <v>0.87</v>
      </c>
      <c r="E62" s="57" t="s">
        <v>116</v>
      </c>
      <c r="G62" s="75">
        <v>7</v>
      </c>
      <c r="H62" s="1" t="s">
        <v>410</v>
      </c>
      <c r="I62" s="57" t="s">
        <v>411</v>
      </c>
      <c r="J62" s="57">
        <v>0.85</v>
      </c>
      <c r="K62" s="115" t="s">
        <v>116</v>
      </c>
    </row>
    <row r="63" spans="1:11">
      <c r="A63" s="19">
        <v>8</v>
      </c>
      <c r="B63" s="1" t="s">
        <v>412</v>
      </c>
      <c r="C63" s="57" t="s">
        <v>413</v>
      </c>
      <c r="D63" s="57">
        <v>8</v>
      </c>
      <c r="E63" s="57" t="s">
        <v>414</v>
      </c>
      <c r="G63" s="75">
        <v>8</v>
      </c>
      <c r="H63" s="1" t="s">
        <v>412</v>
      </c>
      <c r="I63" s="57" t="s">
        <v>413</v>
      </c>
      <c r="J63" s="57">
        <v>8</v>
      </c>
      <c r="K63" s="115" t="s">
        <v>414</v>
      </c>
    </row>
    <row r="64" spans="1:11">
      <c r="A64" s="19">
        <v>9</v>
      </c>
      <c r="B64" s="1" t="s">
        <v>415</v>
      </c>
      <c r="C64" s="57"/>
      <c r="D64" s="93">
        <f>D58*D59*D60</f>
        <v>259686</v>
      </c>
      <c r="E64" s="57" t="s">
        <v>416</v>
      </c>
      <c r="G64" s="75">
        <v>9</v>
      </c>
      <c r="H64" s="1" t="s">
        <v>415</v>
      </c>
      <c r="I64" s="57"/>
      <c r="J64" s="93">
        <f>J58*J59*J60</f>
        <v>259686</v>
      </c>
      <c r="K64" s="115" t="s">
        <v>416</v>
      </c>
    </row>
    <row r="65" spans="1:11">
      <c r="A65" s="19">
        <v>10</v>
      </c>
      <c r="B65" s="1" t="s">
        <v>417</v>
      </c>
      <c r="C65" s="57"/>
      <c r="D65" s="93">
        <f>D63*24*D61/1000</f>
        <v>26.88</v>
      </c>
      <c r="E65" s="57" t="s">
        <v>327</v>
      </c>
      <c r="G65" s="75">
        <v>10</v>
      </c>
      <c r="H65" s="1" t="s">
        <v>417</v>
      </c>
      <c r="I65" s="57"/>
      <c r="J65" s="93">
        <f>J63*24*J61/1000</f>
        <v>26.88</v>
      </c>
      <c r="K65" s="115" t="s">
        <v>327</v>
      </c>
    </row>
    <row r="66" spans="1:11">
      <c r="A66" s="19">
        <v>11</v>
      </c>
      <c r="B66" s="1" t="s">
        <v>418</v>
      </c>
      <c r="C66" s="57"/>
      <c r="D66" s="93">
        <f>D64/(D62*D61)</f>
        <v>2132.06896551724</v>
      </c>
      <c r="E66" s="57" t="s">
        <v>331</v>
      </c>
      <c r="G66" s="75">
        <v>11</v>
      </c>
      <c r="H66" s="1" t="s">
        <v>418</v>
      </c>
      <c r="I66" s="57"/>
      <c r="J66" s="93">
        <f>J64/(J62*J61)</f>
        <v>2182.23529411765</v>
      </c>
      <c r="K66" s="115" t="s">
        <v>331</v>
      </c>
    </row>
    <row r="67" spans="1:11">
      <c r="A67" s="57">
        <v>12</v>
      </c>
      <c r="B67" s="1" t="s">
        <v>426</v>
      </c>
      <c r="C67" s="1"/>
      <c r="D67" s="91">
        <f>D66/D58</f>
        <v>1.12807881773399</v>
      </c>
      <c r="E67" s="57" t="s">
        <v>331</v>
      </c>
      <c r="G67" s="89">
        <v>12</v>
      </c>
      <c r="H67" s="1" t="s">
        <v>426</v>
      </c>
      <c r="I67" s="1"/>
      <c r="J67" s="91">
        <f>J66/J58</f>
        <v>1.1546218487395</v>
      </c>
      <c r="K67" s="115" t="s">
        <v>331</v>
      </c>
    </row>
    <row r="68" spans="1:11">
      <c r="A68" s="1"/>
      <c r="B68" s="1"/>
      <c r="C68" s="1"/>
      <c r="D68" s="1"/>
      <c r="E68" s="1"/>
      <c r="G68" s="94"/>
      <c r="H68" s="81"/>
      <c r="I68" s="81"/>
      <c r="J68" s="81"/>
      <c r="K68" s="116"/>
    </row>
    <row r="69" spans="1:11">
      <c r="A69" s="1"/>
      <c r="B69" s="57" t="s">
        <v>427</v>
      </c>
      <c r="C69" s="57"/>
      <c r="D69" s="1" t="s">
        <v>428</v>
      </c>
      <c r="E69" s="1" t="s">
        <v>429</v>
      </c>
      <c r="G69" s="94"/>
      <c r="H69" s="81"/>
      <c r="I69" s="81"/>
      <c r="J69" s="81"/>
      <c r="K69" s="116"/>
    </row>
    <row r="70" spans="1:11">
      <c r="A70" s="57">
        <v>1</v>
      </c>
      <c r="B70" s="57" t="s">
        <v>111</v>
      </c>
      <c r="C70" s="141" t="s">
        <v>434</v>
      </c>
      <c r="D70" s="1">
        <v>8.6</v>
      </c>
      <c r="E70" s="143" t="e">
        <f>((C70-D70)/C70)*100</f>
        <v>#VALUE!</v>
      </c>
      <c r="G70" s="94"/>
      <c r="H70" s="81"/>
      <c r="I70" s="81"/>
      <c r="J70" s="81"/>
      <c r="K70" s="116"/>
    </row>
    <row r="71" spans="1:11">
      <c r="A71" s="57">
        <v>2</v>
      </c>
      <c r="B71" s="57" t="s">
        <v>331</v>
      </c>
      <c r="C71" s="141" t="s">
        <v>431</v>
      </c>
      <c r="D71" s="1">
        <v>1.1</v>
      </c>
      <c r="E71" s="143" t="e">
        <f>((C71-D71)/C71)*100</f>
        <v>#VALUE!</v>
      </c>
      <c r="G71" s="94"/>
      <c r="H71" s="81"/>
      <c r="I71" s="81"/>
      <c r="J71" s="81"/>
      <c r="K71" s="116"/>
    </row>
    <row r="72" ht="14.75" spans="1:11">
      <c r="A72" s="1" t="s">
        <v>435</v>
      </c>
      <c r="B72" s="1"/>
      <c r="C72" s="142">
        <f>D52-J52</f>
        <v>-128.202839756593</v>
      </c>
      <c r="D72" s="1"/>
      <c r="E72" s="1"/>
      <c r="G72" s="119"/>
      <c r="H72" s="120"/>
      <c r="I72" s="120"/>
      <c r="J72" s="120"/>
      <c r="K72" s="122"/>
    </row>
  </sheetData>
  <mergeCells count="12">
    <mergeCell ref="R6:W6"/>
    <mergeCell ref="A9:E9"/>
    <mergeCell ref="G9:K9"/>
    <mergeCell ref="R9:W9"/>
    <mergeCell ref="A21:E21"/>
    <mergeCell ref="G21:K21"/>
    <mergeCell ref="B36:C36"/>
    <mergeCell ref="A42:E42"/>
    <mergeCell ref="G42:K42"/>
    <mergeCell ref="A54:E54"/>
    <mergeCell ref="G54:K54"/>
    <mergeCell ref="B69:C69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D35"/>
  <sheetViews>
    <sheetView topLeftCell="A7" workbookViewId="0">
      <selection activeCell="H15" sqref="H15"/>
    </sheetView>
  </sheetViews>
  <sheetFormatPr defaultColWidth="9" defaultRowHeight="14" outlineLevelCol="3"/>
  <cols>
    <col min="1" max="1" width="4.71323529411765" customWidth="1"/>
    <col min="2" max="2" width="42.1397058823529" customWidth="1"/>
    <col min="3" max="3" width="35.8529411764706" customWidth="1"/>
    <col min="4" max="4" width="24.2867647058824" customWidth="1"/>
  </cols>
  <sheetData>
    <row r="1" ht="36" customHeight="1" spans="1:4">
      <c r="A1" s="50" t="s">
        <v>436</v>
      </c>
      <c r="B1" s="51"/>
      <c r="C1" s="51"/>
      <c r="D1" s="52"/>
    </row>
    <row r="2" ht="11.45" customHeight="1" spans="1:4">
      <c r="A2" s="53"/>
      <c r="B2" s="54"/>
      <c r="C2" s="54"/>
      <c r="D2" s="55"/>
    </row>
    <row r="3" ht="19.9" customHeight="1" spans="1:4">
      <c r="A3" s="27" t="s">
        <v>24</v>
      </c>
      <c r="B3" s="56" t="s">
        <v>25</v>
      </c>
      <c r="C3" s="56"/>
      <c r="D3" s="57"/>
    </row>
    <row r="4" ht="19.9" customHeight="1" spans="1:4">
      <c r="A4" s="27" t="s">
        <v>26</v>
      </c>
      <c r="B4" s="56" t="s">
        <v>437</v>
      </c>
      <c r="C4" s="56"/>
      <c r="D4" s="57"/>
    </row>
    <row r="5" ht="19.9" customHeight="1" spans="1:4">
      <c r="A5" s="27" t="s">
        <v>28</v>
      </c>
      <c r="B5" s="56" t="s">
        <v>438</v>
      </c>
      <c r="C5" s="56" t="s">
        <v>439</v>
      </c>
      <c r="D5" s="57"/>
    </row>
    <row r="6" ht="19.9" customHeight="1" spans="1:4">
      <c r="A6" s="27" t="s">
        <v>31</v>
      </c>
      <c r="B6" s="56" t="s">
        <v>440</v>
      </c>
      <c r="C6" s="56"/>
      <c r="D6" s="57"/>
    </row>
    <row r="7" ht="19.9" customHeight="1" spans="1:4">
      <c r="A7" s="27" t="s">
        <v>33</v>
      </c>
      <c r="B7" s="56" t="s">
        <v>441</v>
      </c>
      <c r="C7" s="56"/>
      <c r="D7" s="57"/>
    </row>
    <row r="8" ht="19.9" customHeight="1" spans="1:4">
      <c r="A8" s="27" t="s">
        <v>35</v>
      </c>
      <c r="B8" s="56" t="s">
        <v>442</v>
      </c>
      <c r="C8" s="56"/>
      <c r="D8" s="57"/>
    </row>
    <row r="9" ht="19.9" customHeight="1" spans="1:4">
      <c r="A9" s="58" t="s">
        <v>443</v>
      </c>
      <c r="B9" s="59"/>
      <c r="C9" s="59"/>
      <c r="D9" s="60"/>
    </row>
    <row r="10" ht="27" customHeight="1" spans="1:4">
      <c r="A10" s="58" t="s">
        <v>103</v>
      </c>
      <c r="B10" s="60"/>
      <c r="C10" s="61" t="s">
        <v>104</v>
      </c>
      <c r="D10" s="61" t="s">
        <v>65</v>
      </c>
    </row>
    <row r="11" ht="19.9" customHeight="1" spans="1:4">
      <c r="A11" s="27" t="s">
        <v>40</v>
      </c>
      <c r="B11" s="56" t="s">
        <v>444</v>
      </c>
      <c r="C11" s="56"/>
      <c r="D11" s="62" t="s">
        <v>108</v>
      </c>
    </row>
    <row r="12" ht="19.9" customHeight="1" spans="1:4">
      <c r="A12" s="27" t="s">
        <v>42</v>
      </c>
      <c r="B12" s="56" t="s">
        <v>445</v>
      </c>
      <c r="C12" s="56"/>
      <c r="D12" s="62"/>
    </row>
    <row r="13" ht="19.9" customHeight="1" spans="1:4">
      <c r="A13" s="27" t="s">
        <v>44</v>
      </c>
      <c r="B13" s="56" t="s">
        <v>446</v>
      </c>
      <c r="C13" s="56"/>
      <c r="D13" s="62" t="s">
        <v>170</v>
      </c>
    </row>
    <row r="14" ht="19.9" customHeight="1" spans="1:4">
      <c r="A14" s="27" t="s">
        <v>46</v>
      </c>
      <c r="B14" s="56" t="s">
        <v>447</v>
      </c>
      <c r="C14" s="56"/>
      <c r="D14" s="62" t="s">
        <v>448</v>
      </c>
    </row>
    <row r="15" ht="19.9" customHeight="1" spans="1:4">
      <c r="A15" s="27" t="s">
        <v>177</v>
      </c>
      <c r="B15" s="56" t="s">
        <v>449</v>
      </c>
      <c r="C15" s="56"/>
      <c r="D15" s="62"/>
    </row>
    <row r="16" ht="19.9" customHeight="1" spans="1:4">
      <c r="A16" s="27" t="s">
        <v>179</v>
      </c>
      <c r="B16" s="56" t="s">
        <v>450</v>
      </c>
      <c r="C16" s="56"/>
      <c r="D16" s="62" t="s">
        <v>116</v>
      </c>
    </row>
    <row r="17" ht="19.9" customHeight="1" spans="1:4">
      <c r="A17" s="27" t="s">
        <v>182</v>
      </c>
      <c r="B17" s="56" t="s">
        <v>451</v>
      </c>
      <c r="C17" s="56"/>
      <c r="D17" s="62" t="s">
        <v>116</v>
      </c>
    </row>
    <row r="18" ht="19.9" customHeight="1" spans="1:4">
      <c r="A18" s="27" t="s">
        <v>184</v>
      </c>
      <c r="B18" s="56" t="s">
        <v>452</v>
      </c>
      <c r="C18" s="56" t="s">
        <v>453</v>
      </c>
      <c r="D18" s="62"/>
    </row>
    <row r="19" ht="19.9" customHeight="1" spans="1:4">
      <c r="A19" s="27" t="s">
        <v>454</v>
      </c>
      <c r="B19" s="56" t="s">
        <v>455</v>
      </c>
      <c r="C19" s="56"/>
      <c r="D19" s="62" t="s">
        <v>327</v>
      </c>
    </row>
    <row r="20" ht="19.9" customHeight="1" spans="1:4">
      <c r="A20" s="27" t="s">
        <v>456</v>
      </c>
      <c r="B20" s="56" t="s">
        <v>457</v>
      </c>
      <c r="C20" s="56"/>
      <c r="D20" s="57"/>
    </row>
    <row r="21" ht="19.9" customHeight="1" spans="1:4">
      <c r="A21" s="27" t="s">
        <v>458</v>
      </c>
      <c r="B21" s="56" t="s">
        <v>459</v>
      </c>
      <c r="C21" s="56"/>
      <c r="D21" s="62" t="s">
        <v>460</v>
      </c>
    </row>
    <row r="22" ht="19.9" customHeight="1" spans="1:4">
      <c r="A22" s="27" t="s">
        <v>461</v>
      </c>
      <c r="B22" s="56" t="s">
        <v>462</v>
      </c>
      <c r="C22" s="56"/>
      <c r="D22" s="62" t="s">
        <v>463</v>
      </c>
    </row>
    <row r="23" ht="19.9" customHeight="1" spans="1:4">
      <c r="A23" s="27" t="s">
        <v>464</v>
      </c>
      <c r="B23" s="56" t="s">
        <v>465</v>
      </c>
      <c r="C23" s="56" t="s">
        <v>466</v>
      </c>
      <c r="D23" s="62"/>
    </row>
    <row r="24" ht="28.15" customHeight="1" spans="1:4">
      <c r="A24" s="63" t="s">
        <v>467</v>
      </c>
      <c r="B24" s="64"/>
      <c r="C24" s="64"/>
      <c r="D24" s="65"/>
    </row>
    <row r="25" ht="34.9" customHeight="1" spans="1:4">
      <c r="A25" s="27" t="s">
        <v>63</v>
      </c>
      <c r="B25" s="56" t="s">
        <v>468</v>
      </c>
      <c r="C25" s="56"/>
      <c r="D25" s="62"/>
    </row>
    <row r="26" ht="19.9" customHeight="1" spans="1:4">
      <c r="A26" s="27" t="s">
        <v>67</v>
      </c>
      <c r="B26" s="56" t="s">
        <v>469</v>
      </c>
      <c r="C26" s="56" t="s">
        <v>470</v>
      </c>
      <c r="D26" s="62"/>
    </row>
    <row r="27" ht="19.9" customHeight="1" spans="1:4">
      <c r="A27" s="27" t="s">
        <v>70</v>
      </c>
      <c r="B27" s="56" t="s">
        <v>471</v>
      </c>
      <c r="C27" s="56"/>
      <c r="D27" s="62"/>
    </row>
    <row r="28" ht="28.15" customHeight="1" spans="1:4">
      <c r="A28" s="27" t="s">
        <v>72</v>
      </c>
      <c r="B28" s="56" t="s">
        <v>472</v>
      </c>
      <c r="C28" s="56"/>
      <c r="D28" s="62"/>
    </row>
    <row r="29" ht="19.9" customHeight="1" spans="1:4">
      <c r="A29" s="27" t="s">
        <v>75</v>
      </c>
      <c r="B29" s="56" t="s">
        <v>473</v>
      </c>
      <c r="C29" s="56"/>
      <c r="D29" s="62" t="s">
        <v>327</v>
      </c>
    </row>
    <row r="30" ht="19.9" customHeight="1" spans="1:4">
      <c r="A30" s="27" t="s">
        <v>77</v>
      </c>
      <c r="B30" s="56" t="s">
        <v>474</v>
      </c>
      <c r="C30" s="56"/>
      <c r="D30" s="62" t="s">
        <v>475</v>
      </c>
    </row>
    <row r="31" ht="19.9" customHeight="1" spans="1:4">
      <c r="A31" s="66" t="s">
        <v>79</v>
      </c>
      <c r="B31" s="67"/>
      <c r="C31" s="67"/>
      <c r="D31" s="68"/>
    </row>
    <row r="32" ht="19.9" customHeight="1" spans="1:4">
      <c r="A32" s="27" t="s">
        <v>80</v>
      </c>
      <c r="B32" s="56" t="s">
        <v>476</v>
      </c>
      <c r="C32" s="56"/>
      <c r="D32" s="62"/>
    </row>
    <row r="33" ht="19.9" customHeight="1" spans="1:4">
      <c r="A33" s="27" t="s">
        <v>82</v>
      </c>
      <c r="B33" s="56" t="s">
        <v>477</v>
      </c>
      <c r="C33" s="56"/>
      <c r="D33" s="62"/>
    </row>
    <row r="34" ht="30" customHeight="1" spans="1:4">
      <c r="A34" s="27" t="s">
        <v>84</v>
      </c>
      <c r="B34" s="56" t="s">
        <v>478</v>
      </c>
      <c r="C34" s="56"/>
      <c r="D34" s="62"/>
    </row>
    <row r="35" ht="26.45" customHeight="1" spans="1:4">
      <c r="A35" s="69" t="s">
        <v>479</v>
      </c>
      <c r="B35" s="70"/>
      <c r="C35" s="71" t="s">
        <v>480</v>
      </c>
      <c r="D35" s="72"/>
    </row>
  </sheetData>
  <mergeCells count="6">
    <mergeCell ref="A9:D9"/>
    <mergeCell ref="A10:B10"/>
    <mergeCell ref="A24:D24"/>
    <mergeCell ref="A31:D31"/>
    <mergeCell ref="A35:B35"/>
    <mergeCell ref="A1:D2"/>
  </mergeCells>
  <pageMargins left="0.7" right="0.7" top="0.75" bottom="0.75" header="0.3" footer="0.3"/>
  <pageSetup paperSize="9" orientation="portrait" horizontalDpi="1200" verticalDpi="12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399975585192419"/>
  </sheetPr>
  <dimension ref="A1:C40"/>
  <sheetViews>
    <sheetView topLeftCell="B27" workbookViewId="0">
      <selection activeCell="C45" sqref="C45"/>
    </sheetView>
  </sheetViews>
  <sheetFormatPr defaultColWidth="9" defaultRowHeight="14" outlineLevelCol="2"/>
  <cols>
    <col min="1" max="1" width="8.85294117647059"/>
    <col min="2" max="2" width="67.7132352941177" customWidth="1"/>
    <col min="3" max="3" width="50.2867647058824" customWidth="1"/>
  </cols>
  <sheetData>
    <row r="1" ht="34.9" customHeight="1" spans="1:3">
      <c r="A1" s="44" t="s">
        <v>481</v>
      </c>
      <c r="B1" s="45"/>
      <c r="C1" s="46"/>
    </row>
    <row r="2" ht="25.15" customHeight="1" spans="1:3">
      <c r="A2" s="47" t="s">
        <v>310</v>
      </c>
      <c r="B2" s="38" t="s">
        <v>482</v>
      </c>
      <c r="C2" s="39" t="str">
        <f>'Общие свединия '!C2</f>
        <v>    ООО « Hаmkor nur savdo»</v>
      </c>
    </row>
    <row r="3" ht="25.15" customHeight="1" spans="1:3">
      <c r="A3" s="47" t="s">
        <v>26</v>
      </c>
      <c r="B3" s="38" t="s">
        <v>483</v>
      </c>
      <c r="C3" s="39" t="str">
        <f>'Свод по зданиям'!C5</f>
        <v>Нежилое </v>
      </c>
    </row>
    <row r="4" ht="25.15" customHeight="1" spans="1:3">
      <c r="A4" s="47" t="s">
        <v>28</v>
      </c>
      <c r="B4" s="38" t="s">
        <v>484</v>
      </c>
      <c r="C4" s="39" t="s">
        <v>485</v>
      </c>
    </row>
    <row r="5" ht="25.15" customHeight="1" spans="1:3">
      <c r="A5" s="40" t="s">
        <v>486</v>
      </c>
      <c r="B5" s="41"/>
      <c r="C5" s="42"/>
    </row>
    <row r="6" ht="25.15" customHeight="1" spans="1:3">
      <c r="A6" s="47" t="s">
        <v>40</v>
      </c>
      <c r="B6" s="38" t="s">
        <v>487</v>
      </c>
      <c r="C6" s="39" t="s">
        <v>488</v>
      </c>
    </row>
    <row r="7" ht="25.15" customHeight="1" spans="1:3">
      <c r="A7" s="47" t="s">
        <v>42</v>
      </c>
      <c r="B7" s="38" t="s">
        <v>489</v>
      </c>
      <c r="C7" s="39" t="s">
        <v>490</v>
      </c>
    </row>
    <row r="8" ht="25.15" customHeight="1" spans="1:3">
      <c r="A8" s="47" t="s">
        <v>44</v>
      </c>
      <c r="B8" s="38" t="s">
        <v>491</v>
      </c>
      <c r="C8" s="39"/>
    </row>
    <row r="9" ht="25.15" customHeight="1" spans="1:3">
      <c r="A9" s="47" t="s">
        <v>46</v>
      </c>
      <c r="B9" s="38" t="s">
        <v>492</v>
      </c>
      <c r="C9" s="39">
        <f>(6*3.75)+5.05+2.69</f>
        <v>30.24</v>
      </c>
    </row>
    <row r="10" ht="25.15" customHeight="1" spans="1:3">
      <c r="A10" s="47" t="s">
        <v>177</v>
      </c>
      <c r="B10" s="38" t="s">
        <v>493</v>
      </c>
      <c r="C10" s="39">
        <f>(6*4.07)+5.42+3.22</f>
        <v>33.06</v>
      </c>
    </row>
    <row r="11" ht="25.15" customHeight="1" spans="1:3">
      <c r="A11" s="47" t="s">
        <v>179</v>
      </c>
      <c r="B11" s="38" t="s">
        <v>494</v>
      </c>
      <c r="C11" s="39">
        <f>(6*1.11)+1.6+0.89</f>
        <v>9.15</v>
      </c>
    </row>
    <row r="12" ht="25.15" customHeight="1" spans="1:3">
      <c r="A12" s="47" t="s">
        <v>182</v>
      </c>
      <c r="B12" s="38" t="s">
        <v>495</v>
      </c>
      <c r="C12" s="39" t="s">
        <v>496</v>
      </c>
    </row>
    <row r="13" ht="25.15" customHeight="1" spans="1:3">
      <c r="A13" s="47" t="s">
        <v>184</v>
      </c>
      <c r="B13" s="38" t="s">
        <v>497</v>
      </c>
      <c r="C13" s="39" t="s">
        <v>498</v>
      </c>
    </row>
    <row r="14" ht="25.15" customHeight="1" spans="1:3">
      <c r="A14" s="47" t="s">
        <v>454</v>
      </c>
      <c r="B14" s="38" t="s">
        <v>499</v>
      </c>
      <c r="C14" s="39" t="s">
        <v>172</v>
      </c>
    </row>
    <row r="15" ht="25.15" customHeight="1" spans="1:3">
      <c r="A15" s="40" t="s">
        <v>500</v>
      </c>
      <c r="B15" s="41"/>
      <c r="C15" s="42"/>
    </row>
    <row r="16" ht="31.5" customHeight="1" spans="1:3">
      <c r="A16" s="47" t="s">
        <v>50</v>
      </c>
      <c r="B16" s="38" t="s">
        <v>501</v>
      </c>
      <c r="C16" s="38" t="s">
        <v>502</v>
      </c>
    </row>
    <row r="17" ht="25.15" customHeight="1" spans="1:3">
      <c r="A17" s="47" t="s">
        <v>52</v>
      </c>
      <c r="B17" s="38" t="s">
        <v>503</v>
      </c>
      <c r="C17" s="48">
        <v>0.73</v>
      </c>
    </row>
    <row r="18" ht="25.15" customHeight="1" spans="1:3">
      <c r="A18" s="47" t="s">
        <v>54</v>
      </c>
      <c r="B18" s="38" t="s">
        <v>504</v>
      </c>
      <c r="C18" s="39" t="s">
        <v>505</v>
      </c>
    </row>
    <row r="19" ht="25.15" customHeight="1" spans="1:3">
      <c r="A19" s="47" t="s">
        <v>57</v>
      </c>
      <c r="B19" s="38" t="s">
        <v>506</v>
      </c>
      <c r="C19" s="39" t="s">
        <v>507</v>
      </c>
    </row>
    <row r="20" ht="25.15" customHeight="1" spans="1:3">
      <c r="A20" s="47" t="s">
        <v>59</v>
      </c>
      <c r="B20" s="38" t="s">
        <v>508</v>
      </c>
      <c r="C20" s="39" t="s">
        <v>509</v>
      </c>
    </row>
    <row r="21" ht="25.15" customHeight="1" spans="1:3">
      <c r="A21" s="40" t="s">
        <v>510</v>
      </c>
      <c r="B21" s="41"/>
      <c r="C21" s="42"/>
    </row>
    <row r="22" ht="25.15" customHeight="1" spans="1:3">
      <c r="A22" s="47" t="s">
        <v>63</v>
      </c>
      <c r="B22" s="38" t="s">
        <v>511</v>
      </c>
      <c r="C22" s="39">
        <f>C11*0.73*153*4</f>
        <v>4087.854</v>
      </c>
    </row>
    <row r="23" ht="34.15" customHeight="1" spans="1:3">
      <c r="A23" s="47" t="s">
        <v>67</v>
      </c>
      <c r="B23" s="38" t="s">
        <v>512</v>
      </c>
      <c r="C23" s="49">
        <f>C22/1635.1</f>
        <v>2.5000636046725</v>
      </c>
    </row>
    <row r="24" ht="25.15" customHeight="1" spans="1:3">
      <c r="A24" s="47" t="s">
        <v>70</v>
      </c>
      <c r="B24" s="38" t="s">
        <v>513</v>
      </c>
      <c r="C24" s="39"/>
    </row>
    <row r="25" ht="25.15" customHeight="1" spans="1:3">
      <c r="A25" s="47" t="s">
        <v>72</v>
      </c>
      <c r="B25" s="38" t="s">
        <v>514</v>
      </c>
      <c r="C25" s="39"/>
    </row>
    <row r="26" ht="25.15" customHeight="1" spans="1:3">
      <c r="A26" s="40" t="s">
        <v>515</v>
      </c>
      <c r="B26" s="41"/>
      <c r="C26" s="42"/>
    </row>
    <row r="27" ht="25.15" customHeight="1" spans="1:3">
      <c r="A27" s="47" t="s">
        <v>80</v>
      </c>
      <c r="B27" s="38" t="s">
        <v>516</v>
      </c>
      <c r="C27" s="39">
        <f>1635.1*3</f>
        <v>4905.3</v>
      </c>
    </row>
    <row r="28" ht="39" customHeight="1" spans="1:3">
      <c r="A28" s="47" t="s">
        <v>82</v>
      </c>
      <c r="B28" s="38" t="s">
        <v>517</v>
      </c>
      <c r="C28" s="39" t="s">
        <v>518</v>
      </c>
    </row>
    <row r="29" ht="25.15" customHeight="1" spans="1:3">
      <c r="A29" s="47" t="s">
        <v>84</v>
      </c>
      <c r="B29" s="38" t="s">
        <v>519</v>
      </c>
      <c r="C29" s="39" t="s">
        <v>518</v>
      </c>
    </row>
    <row r="30" ht="25.15" customHeight="1" spans="1:3">
      <c r="A30" s="47" t="s">
        <v>226</v>
      </c>
      <c r="B30" s="38" t="s">
        <v>520</v>
      </c>
      <c r="C30" s="48">
        <v>0.73</v>
      </c>
    </row>
    <row r="31" ht="25.15" customHeight="1" spans="1:3">
      <c r="A31" s="40" t="s">
        <v>521</v>
      </c>
      <c r="B31" s="41"/>
      <c r="C31" s="42"/>
    </row>
    <row r="32" ht="32.45" customHeight="1" spans="1:3">
      <c r="A32" s="47" t="s">
        <v>234</v>
      </c>
      <c r="B32" s="38" t="s">
        <v>522</v>
      </c>
      <c r="C32" s="39" t="s">
        <v>172</v>
      </c>
    </row>
    <row r="33" ht="25.15" customHeight="1" spans="1:3">
      <c r="A33" s="47" t="s">
        <v>237</v>
      </c>
      <c r="B33" s="38" t="s">
        <v>523</v>
      </c>
      <c r="C33" s="39" t="s">
        <v>120</v>
      </c>
    </row>
    <row r="34" ht="25.15" customHeight="1" spans="1:3">
      <c r="A34" s="47" t="s">
        <v>240</v>
      </c>
      <c r="B34" s="38" t="s">
        <v>524</v>
      </c>
      <c r="C34" s="39" t="s">
        <v>120</v>
      </c>
    </row>
    <row r="35" ht="25.15" customHeight="1" spans="1:3">
      <c r="A35" s="40" t="s">
        <v>525</v>
      </c>
      <c r="B35" s="41"/>
      <c r="C35" s="42"/>
    </row>
    <row r="36" ht="25.15" customHeight="1" spans="1:3">
      <c r="A36" s="47" t="s">
        <v>526</v>
      </c>
      <c r="B36" s="38" t="s">
        <v>527</v>
      </c>
      <c r="C36" s="39"/>
    </row>
    <row r="37" ht="25.15" customHeight="1" spans="1:3">
      <c r="A37" s="47" t="s">
        <v>528</v>
      </c>
      <c r="B37" s="38" t="s">
        <v>529</v>
      </c>
      <c r="C37" s="39"/>
    </row>
    <row r="38" ht="25.15" customHeight="1" spans="1:3">
      <c r="A38" s="47" t="s">
        <v>530</v>
      </c>
      <c r="B38" s="38" t="s">
        <v>531</v>
      </c>
      <c r="C38" s="39"/>
    </row>
    <row r="39" ht="25.15" customHeight="1" spans="1:3">
      <c r="A39" s="47" t="s">
        <v>532</v>
      </c>
      <c r="B39" s="38" t="s">
        <v>533</v>
      </c>
      <c r="C39" s="39"/>
    </row>
    <row r="40" ht="25.15" customHeight="1" spans="1:3">
      <c r="A40" s="47" t="s">
        <v>534</v>
      </c>
      <c r="B40" s="38" t="s">
        <v>535</v>
      </c>
      <c r="C40" s="39"/>
    </row>
  </sheetData>
  <mergeCells count="7">
    <mergeCell ref="A1:C1"/>
    <mergeCell ref="A5:C5"/>
    <mergeCell ref="A15:C15"/>
    <mergeCell ref="A21:C21"/>
    <mergeCell ref="A26:C26"/>
    <mergeCell ref="A31:C31"/>
    <mergeCell ref="A35:C35"/>
  </mergeCells>
  <pageMargins left="0.7" right="0.7" top="0.75" bottom="0.75" header="0.3" footer="0.3"/>
  <pageSetup paperSize="9" orientation="portrait" horizontalDpi="1200" verticalDpi="12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1:C41"/>
  <sheetViews>
    <sheetView workbookViewId="0">
      <selection activeCell="C7" sqref="C7"/>
    </sheetView>
  </sheetViews>
  <sheetFormatPr defaultColWidth="9" defaultRowHeight="14" outlineLevelCol="2"/>
  <cols>
    <col min="1" max="1" width="5.57352941176471" customWidth="1"/>
    <col min="2" max="2" width="67.7132352941177" customWidth="1"/>
    <col min="3" max="3" width="62.7132352941176" customWidth="1"/>
  </cols>
  <sheetData>
    <row r="1" customFormat="1"/>
    <row r="2" ht="50.45" customHeight="1" spans="1:3">
      <c r="A2" s="35" t="s">
        <v>536</v>
      </c>
      <c r="B2" s="36"/>
      <c r="C2" s="37"/>
    </row>
    <row r="3" ht="25.15" customHeight="1" spans="1:3">
      <c r="A3" s="27" t="s">
        <v>24</v>
      </c>
      <c r="B3" s="38" t="s">
        <v>482</v>
      </c>
      <c r="C3" s="39" t="str">
        <f>'Общие свединия '!C2</f>
        <v>    ООО « Hаmkor nur savdo»</v>
      </c>
    </row>
    <row r="4" ht="25.15" customHeight="1" spans="1:3">
      <c r="A4" s="27" t="s">
        <v>26</v>
      </c>
      <c r="B4" s="38" t="s">
        <v>483</v>
      </c>
      <c r="C4" s="39" t="str">
        <f>'Свод по зданиям'!C5</f>
        <v>Нежилое </v>
      </c>
    </row>
    <row r="5" ht="25.15" customHeight="1" spans="1:3">
      <c r="A5" s="27" t="s">
        <v>28</v>
      </c>
      <c r="B5" s="38" t="s">
        <v>484</v>
      </c>
      <c r="C5" s="39" t="s">
        <v>537</v>
      </c>
    </row>
    <row r="6" ht="25.15" customHeight="1" spans="1:3">
      <c r="A6" s="40" t="s">
        <v>538</v>
      </c>
      <c r="B6" s="41"/>
      <c r="C6" s="42"/>
    </row>
    <row r="7" ht="33" customHeight="1" spans="1:3">
      <c r="A7" s="27" t="s">
        <v>40</v>
      </c>
      <c r="B7" s="38" t="s">
        <v>539</v>
      </c>
      <c r="C7" s="39" t="s">
        <v>540</v>
      </c>
    </row>
    <row r="8" ht="25.15" customHeight="1" spans="1:3">
      <c r="A8" s="27" t="s">
        <v>42</v>
      </c>
      <c r="B8" s="38" t="s">
        <v>541</v>
      </c>
      <c r="C8" s="39"/>
    </row>
    <row r="9" ht="25.15" customHeight="1" spans="1:3">
      <c r="A9" s="27" t="s">
        <v>44</v>
      </c>
      <c r="B9" s="38" t="s">
        <v>491</v>
      </c>
      <c r="C9" s="39"/>
    </row>
    <row r="10" ht="25.15" customHeight="1" spans="1:3">
      <c r="A10" s="27" t="s">
        <v>46</v>
      </c>
      <c r="B10" s="38" t="s">
        <v>542</v>
      </c>
      <c r="C10" s="39"/>
    </row>
    <row r="11" ht="25.15" customHeight="1" spans="1:3">
      <c r="A11" s="27" t="s">
        <v>177</v>
      </c>
      <c r="B11" s="38" t="s">
        <v>543</v>
      </c>
      <c r="C11" s="39"/>
    </row>
    <row r="12" ht="25.15" customHeight="1" spans="1:3">
      <c r="A12" s="27" t="s">
        <v>179</v>
      </c>
      <c r="B12" s="38" t="s">
        <v>544</v>
      </c>
      <c r="C12" s="39"/>
    </row>
    <row r="13" ht="25.15" customHeight="1" spans="1:3">
      <c r="A13" s="27" t="s">
        <v>182</v>
      </c>
      <c r="B13" s="38" t="s">
        <v>545</v>
      </c>
      <c r="C13" s="39"/>
    </row>
    <row r="14" ht="25.15" customHeight="1" spans="1:3">
      <c r="A14" s="27" t="s">
        <v>184</v>
      </c>
      <c r="B14" s="38" t="s">
        <v>546</v>
      </c>
      <c r="C14" s="39"/>
    </row>
    <row r="15" ht="25.15" customHeight="1" spans="1:3">
      <c r="A15" s="27" t="s">
        <v>454</v>
      </c>
      <c r="B15" s="38" t="s">
        <v>499</v>
      </c>
      <c r="C15" s="39"/>
    </row>
    <row r="16" ht="25.15" customHeight="1" spans="1:3">
      <c r="A16" s="27"/>
      <c r="B16" s="43" t="s">
        <v>500</v>
      </c>
      <c r="C16" s="39"/>
    </row>
    <row r="17" ht="25.15" customHeight="1" spans="1:3">
      <c r="A17" s="27" t="s">
        <v>50</v>
      </c>
      <c r="B17" s="38" t="s">
        <v>547</v>
      </c>
      <c r="C17" s="39"/>
    </row>
    <row r="18" ht="25.15" customHeight="1" spans="1:3">
      <c r="A18" s="27" t="s">
        <v>52</v>
      </c>
      <c r="B18" s="38" t="s">
        <v>504</v>
      </c>
      <c r="C18" s="39"/>
    </row>
    <row r="19" ht="25.15" customHeight="1" spans="1:3">
      <c r="A19" s="27" t="s">
        <v>54</v>
      </c>
      <c r="B19" s="38" t="s">
        <v>548</v>
      </c>
      <c r="C19" s="39"/>
    </row>
    <row r="20" ht="25.15" customHeight="1" spans="1:3">
      <c r="A20" s="27" t="s">
        <v>57</v>
      </c>
      <c r="B20" s="38" t="s">
        <v>549</v>
      </c>
      <c r="C20" s="39"/>
    </row>
    <row r="21" ht="25.15" customHeight="1" spans="1:3">
      <c r="A21" s="27" t="s">
        <v>59</v>
      </c>
      <c r="B21" s="38" t="s">
        <v>550</v>
      </c>
      <c r="C21" s="39"/>
    </row>
    <row r="22" ht="25.15" customHeight="1" spans="1:3">
      <c r="A22" s="27"/>
      <c r="B22" s="43" t="s">
        <v>510</v>
      </c>
      <c r="C22" s="39"/>
    </row>
    <row r="23" ht="25.15" customHeight="1" spans="1:3">
      <c r="A23" s="27" t="s">
        <v>63</v>
      </c>
      <c r="B23" s="38" t="s">
        <v>511</v>
      </c>
      <c r="C23" s="39"/>
    </row>
    <row r="24" ht="36.6" customHeight="1" spans="1:3">
      <c r="A24" s="27" t="s">
        <v>67</v>
      </c>
      <c r="B24" s="38" t="s">
        <v>512</v>
      </c>
      <c r="C24" s="39"/>
    </row>
    <row r="25" ht="25.15" customHeight="1" spans="1:3">
      <c r="A25" s="27" t="s">
        <v>70</v>
      </c>
      <c r="B25" s="38" t="s">
        <v>513</v>
      </c>
      <c r="C25" s="39"/>
    </row>
    <row r="26" ht="25.15" customHeight="1" spans="1:3">
      <c r="A26" s="27" t="s">
        <v>72</v>
      </c>
      <c r="B26" s="38" t="s">
        <v>514</v>
      </c>
      <c r="C26" s="39"/>
    </row>
    <row r="27" ht="25.15" customHeight="1" spans="1:3">
      <c r="A27" s="27"/>
      <c r="B27" s="43" t="s">
        <v>551</v>
      </c>
      <c r="C27" s="39"/>
    </row>
    <row r="28" ht="25.15" customHeight="1" spans="1:3">
      <c r="A28" s="27" t="s">
        <v>80</v>
      </c>
      <c r="B28" s="38" t="s">
        <v>552</v>
      </c>
      <c r="C28" s="39"/>
    </row>
    <row r="29" ht="25.15" customHeight="1" spans="1:3">
      <c r="A29" s="27" t="s">
        <v>82</v>
      </c>
      <c r="B29" s="38" t="s">
        <v>553</v>
      </c>
      <c r="C29" s="39"/>
    </row>
    <row r="30" ht="25.15" customHeight="1" spans="1:3">
      <c r="A30" s="27" t="s">
        <v>84</v>
      </c>
      <c r="B30" s="38" t="s">
        <v>554</v>
      </c>
      <c r="C30" s="39"/>
    </row>
    <row r="31" ht="25.15" customHeight="1" spans="1:3">
      <c r="A31" s="27" t="s">
        <v>226</v>
      </c>
      <c r="B31" s="38" t="s">
        <v>555</v>
      </c>
      <c r="C31" s="39"/>
    </row>
    <row r="32" ht="25.15" customHeight="1" spans="1:3">
      <c r="A32" s="27"/>
      <c r="B32" s="43" t="s">
        <v>521</v>
      </c>
      <c r="C32" s="39"/>
    </row>
    <row r="33" ht="25.15" customHeight="1" spans="1:3">
      <c r="A33" s="27" t="s">
        <v>234</v>
      </c>
      <c r="B33" s="38" t="s">
        <v>556</v>
      </c>
      <c r="C33" s="39"/>
    </row>
    <row r="34" ht="25.15" customHeight="1" spans="1:3">
      <c r="A34" s="27" t="s">
        <v>237</v>
      </c>
      <c r="B34" s="38" t="s">
        <v>523</v>
      </c>
      <c r="C34" s="39"/>
    </row>
    <row r="35" ht="25.15" customHeight="1" spans="1:3">
      <c r="A35" s="27" t="s">
        <v>240</v>
      </c>
      <c r="B35" s="38" t="s">
        <v>524</v>
      </c>
      <c r="C35" s="39"/>
    </row>
    <row r="36" ht="25.15" customHeight="1" spans="1:3">
      <c r="A36" s="27"/>
      <c r="B36" s="43" t="s">
        <v>525</v>
      </c>
      <c r="C36" s="39"/>
    </row>
    <row r="37" ht="25.15" customHeight="1" spans="1:3">
      <c r="A37" s="27" t="s">
        <v>526</v>
      </c>
      <c r="B37" s="38" t="s">
        <v>527</v>
      </c>
      <c r="C37" s="39"/>
    </row>
    <row r="38" ht="25.15" customHeight="1" spans="1:3">
      <c r="A38" s="27" t="s">
        <v>528</v>
      </c>
      <c r="B38" s="38" t="s">
        <v>557</v>
      </c>
      <c r="C38" s="39"/>
    </row>
    <row r="39" ht="25.15" customHeight="1" spans="1:3">
      <c r="A39" s="27" t="s">
        <v>530</v>
      </c>
      <c r="B39" s="38" t="s">
        <v>531</v>
      </c>
      <c r="C39" s="39"/>
    </row>
    <row r="40" ht="25.15" customHeight="1" spans="1:3">
      <c r="A40" s="27" t="s">
        <v>532</v>
      </c>
      <c r="B40" s="38" t="s">
        <v>533</v>
      </c>
      <c r="C40" s="39"/>
    </row>
    <row r="41" ht="25.15" customHeight="1" spans="1:3">
      <c r="A41" s="27" t="s">
        <v>534</v>
      </c>
      <c r="B41" s="38" t="s">
        <v>535</v>
      </c>
      <c r="C41" s="39"/>
    </row>
  </sheetData>
  <mergeCells count="7">
    <mergeCell ref="A2:C2"/>
    <mergeCell ref="A6:C6"/>
    <mergeCell ref="B16:C16"/>
    <mergeCell ref="B22:C22"/>
    <mergeCell ref="B27:C27"/>
    <mergeCell ref="B32:C32"/>
    <mergeCell ref="B36:C36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77111117893"/>
  </sheetPr>
  <dimension ref="A1:C41"/>
  <sheetViews>
    <sheetView workbookViewId="0">
      <selection activeCell="C4" sqref="C4"/>
    </sheetView>
  </sheetViews>
  <sheetFormatPr defaultColWidth="9" defaultRowHeight="14" outlineLevelCol="2"/>
  <cols>
    <col min="1" max="1" width="5.85294117647059" customWidth="1"/>
    <col min="2" max="2" width="56.5735294117647" customWidth="1"/>
    <col min="3" max="3" width="56.2867647058824" customWidth="1"/>
  </cols>
  <sheetData>
    <row r="1" ht="37.15" customHeight="1" spans="1:3">
      <c r="A1" s="24" t="s">
        <v>481</v>
      </c>
      <c r="B1" s="25"/>
      <c r="C1" s="26"/>
    </row>
    <row r="2" ht="25.15" customHeight="1" spans="1:3">
      <c r="A2" s="27" t="s">
        <v>24</v>
      </c>
      <c r="B2" s="28" t="s">
        <v>482</v>
      </c>
      <c r="C2" s="1" t="str">
        <f>'Свод по зданиям'!C3</f>
        <v>    ООО « Hаmkor nur savdo»</v>
      </c>
    </row>
    <row r="3" ht="25.15" customHeight="1" spans="1:3">
      <c r="A3" s="27" t="s">
        <v>26</v>
      </c>
      <c r="B3" s="28" t="s">
        <v>483</v>
      </c>
      <c r="C3" s="1" t="str">
        <f>'Свод по зданиям'!C5</f>
        <v>Нежилое </v>
      </c>
    </row>
    <row r="4" ht="25.15" customHeight="1" spans="1:3">
      <c r="A4" s="27" t="s">
        <v>28</v>
      </c>
      <c r="B4" s="28" t="s">
        <v>484</v>
      </c>
      <c r="C4" s="1" t="s">
        <v>558</v>
      </c>
    </row>
    <row r="5" ht="25.15" customHeight="1" spans="1:3">
      <c r="A5" s="27" t="s">
        <v>31</v>
      </c>
      <c r="B5" s="28" t="s">
        <v>559</v>
      </c>
      <c r="C5" s="1"/>
    </row>
    <row r="6" ht="25.15" customHeight="1" spans="1:3">
      <c r="A6" s="29" t="s">
        <v>560</v>
      </c>
      <c r="B6" s="30"/>
      <c r="C6" s="31"/>
    </row>
    <row r="7" ht="25.15" customHeight="1" spans="1:3">
      <c r="A7" s="27" t="s">
        <v>40</v>
      </c>
      <c r="B7" s="28" t="s">
        <v>561</v>
      </c>
      <c r="C7" s="1" t="s">
        <v>562</v>
      </c>
    </row>
    <row r="8" ht="25.15" customHeight="1" spans="1:3">
      <c r="A8" s="27" t="s">
        <v>42</v>
      </c>
      <c r="B8" s="28" t="s">
        <v>563</v>
      </c>
      <c r="C8" s="1" t="s">
        <v>564</v>
      </c>
    </row>
    <row r="9" ht="25.15" customHeight="1" spans="1:3">
      <c r="A9" s="27" t="s">
        <v>44</v>
      </c>
      <c r="B9" s="28" t="s">
        <v>491</v>
      </c>
      <c r="C9" s="1"/>
    </row>
    <row r="10" ht="25.15" customHeight="1" spans="1:3">
      <c r="A10" s="27" t="s">
        <v>46</v>
      </c>
      <c r="B10" s="28" t="s">
        <v>565</v>
      </c>
      <c r="C10" s="1" t="s">
        <v>566</v>
      </c>
    </row>
    <row r="11" ht="25.15" customHeight="1" spans="1:3">
      <c r="A11" s="27" t="s">
        <v>177</v>
      </c>
      <c r="B11" s="28" t="s">
        <v>567</v>
      </c>
      <c r="C11" s="1" t="s">
        <v>568</v>
      </c>
    </row>
    <row r="12" ht="25.15" customHeight="1" spans="1:3">
      <c r="A12" s="27" t="s">
        <v>179</v>
      </c>
      <c r="B12" s="28" t="s">
        <v>569</v>
      </c>
      <c r="C12" s="32" t="s">
        <v>570</v>
      </c>
    </row>
    <row r="13" ht="34" spans="1:3">
      <c r="A13" s="27" t="s">
        <v>182</v>
      </c>
      <c r="B13" s="28" t="s">
        <v>571</v>
      </c>
      <c r="C13" s="33" t="s">
        <v>572</v>
      </c>
    </row>
    <row r="14" ht="25.15" customHeight="1" spans="1:3">
      <c r="A14" s="27" t="s">
        <v>184</v>
      </c>
      <c r="B14" s="28" t="s">
        <v>573</v>
      </c>
      <c r="C14" s="34"/>
    </row>
    <row r="15" ht="25.15" customHeight="1" spans="1:3">
      <c r="A15" s="27" t="s">
        <v>454</v>
      </c>
      <c r="B15" s="28" t="s">
        <v>574</v>
      </c>
      <c r="C15" s="1" t="s">
        <v>575</v>
      </c>
    </row>
    <row r="16" ht="25.15" customHeight="1" spans="1:3">
      <c r="A16" s="29" t="s">
        <v>500</v>
      </c>
      <c r="B16" s="30"/>
      <c r="C16" s="31"/>
    </row>
    <row r="17" ht="25.15" customHeight="1" spans="1:3">
      <c r="A17" s="27" t="s">
        <v>50</v>
      </c>
      <c r="B17" s="28" t="s">
        <v>576</v>
      </c>
      <c r="C17" s="1"/>
    </row>
    <row r="18" ht="25.15" customHeight="1" spans="1:3">
      <c r="A18" s="27" t="s">
        <v>52</v>
      </c>
      <c r="B18" s="28" t="s">
        <v>577</v>
      </c>
      <c r="C18" s="1"/>
    </row>
    <row r="19" ht="25.15" customHeight="1" spans="1:3">
      <c r="A19" s="27" t="s">
        <v>54</v>
      </c>
      <c r="B19" s="28" t="s">
        <v>578</v>
      </c>
      <c r="C19" s="1"/>
    </row>
    <row r="20" ht="25.15" customHeight="1" spans="1:3">
      <c r="A20" s="27" t="s">
        <v>57</v>
      </c>
      <c r="B20" s="28" t="s">
        <v>579</v>
      </c>
      <c r="C20" s="1"/>
    </row>
    <row r="21" ht="25.15" customHeight="1" spans="1:3">
      <c r="A21" s="27" t="s">
        <v>59</v>
      </c>
      <c r="B21" s="28" t="s">
        <v>580</v>
      </c>
      <c r="C21" s="1"/>
    </row>
    <row r="22" ht="25.15" customHeight="1" spans="1:3">
      <c r="A22" s="29" t="s">
        <v>581</v>
      </c>
      <c r="B22" s="30"/>
      <c r="C22" s="31"/>
    </row>
    <row r="23" ht="25.15" customHeight="1" spans="1:3">
      <c r="A23" s="27" t="s">
        <v>63</v>
      </c>
      <c r="B23" s="28" t="s">
        <v>582</v>
      </c>
      <c r="C23" s="1" t="s">
        <v>583</v>
      </c>
    </row>
    <row r="24" ht="25.15" customHeight="1" spans="1:3">
      <c r="A24" s="27" t="s">
        <v>67</v>
      </c>
      <c r="B24" s="28" t="s">
        <v>584</v>
      </c>
      <c r="C24" s="1" t="s">
        <v>585</v>
      </c>
    </row>
    <row r="25" ht="25.15" customHeight="1" spans="1:3">
      <c r="A25" s="27" t="s">
        <v>70</v>
      </c>
      <c r="B25" s="28" t="s">
        <v>513</v>
      </c>
      <c r="C25" s="1"/>
    </row>
    <row r="26" ht="25.15" customHeight="1" spans="1:3">
      <c r="A26" s="27" t="s">
        <v>72</v>
      </c>
      <c r="B26" s="28" t="s">
        <v>514</v>
      </c>
      <c r="C26" s="1"/>
    </row>
    <row r="27" ht="25.15" customHeight="1" spans="1:3">
      <c r="A27" s="29" t="s">
        <v>586</v>
      </c>
      <c r="B27" s="30"/>
      <c r="C27" s="31"/>
    </row>
    <row r="28" ht="25.15" customHeight="1" spans="1:3">
      <c r="A28" s="27" t="s">
        <v>80</v>
      </c>
      <c r="B28" s="28" t="s">
        <v>587</v>
      </c>
      <c r="C28" s="1"/>
    </row>
    <row r="29" ht="25.15" customHeight="1" spans="1:3">
      <c r="A29" s="27" t="s">
        <v>82</v>
      </c>
      <c r="B29" s="28" t="s">
        <v>588</v>
      </c>
      <c r="C29" s="1"/>
    </row>
    <row r="30" ht="25.15" customHeight="1" spans="1:3">
      <c r="A30" s="27" t="s">
        <v>84</v>
      </c>
      <c r="B30" s="28" t="s">
        <v>589</v>
      </c>
      <c r="C30" s="1"/>
    </row>
    <row r="31" ht="25.15" customHeight="1" spans="1:3">
      <c r="A31" s="27" t="s">
        <v>226</v>
      </c>
      <c r="B31" s="28" t="s">
        <v>590</v>
      </c>
      <c r="C31" s="1"/>
    </row>
    <row r="32" ht="25.15" customHeight="1" spans="1:3">
      <c r="A32" s="29" t="s">
        <v>521</v>
      </c>
      <c r="B32" s="30"/>
      <c r="C32" s="31"/>
    </row>
    <row r="33" ht="25.15" customHeight="1" spans="1:3">
      <c r="A33" s="27" t="s">
        <v>234</v>
      </c>
      <c r="B33" s="28" t="s">
        <v>591</v>
      </c>
      <c r="C33" s="1"/>
    </row>
    <row r="34" ht="25.15" customHeight="1" spans="1:3">
      <c r="A34" s="27" t="s">
        <v>237</v>
      </c>
      <c r="B34" s="28" t="s">
        <v>523</v>
      </c>
      <c r="C34" s="1"/>
    </row>
    <row r="35" ht="25.15" customHeight="1" spans="1:3">
      <c r="A35" s="27" t="s">
        <v>240</v>
      </c>
      <c r="B35" s="28" t="s">
        <v>592</v>
      </c>
      <c r="C35" s="1"/>
    </row>
    <row r="36" ht="25.15" customHeight="1" spans="1:3">
      <c r="A36" s="29" t="s">
        <v>525</v>
      </c>
      <c r="B36" s="30"/>
      <c r="C36" s="31"/>
    </row>
    <row r="37" ht="25.15" customHeight="1" spans="1:3">
      <c r="A37" s="27" t="s">
        <v>526</v>
      </c>
      <c r="B37" s="28" t="s">
        <v>527</v>
      </c>
      <c r="C37" s="1"/>
    </row>
    <row r="38" ht="25.15" customHeight="1" spans="1:3">
      <c r="A38" s="27" t="s">
        <v>528</v>
      </c>
      <c r="B38" s="28" t="s">
        <v>593</v>
      </c>
      <c r="C38" s="1"/>
    </row>
    <row r="39" ht="25.15" customHeight="1" spans="1:3">
      <c r="A39" s="27" t="s">
        <v>530</v>
      </c>
      <c r="B39" s="28" t="s">
        <v>594</v>
      </c>
      <c r="C39" s="1"/>
    </row>
    <row r="40" ht="25.15" customHeight="1" spans="1:3">
      <c r="A40" s="27" t="s">
        <v>532</v>
      </c>
      <c r="B40" s="28" t="s">
        <v>595</v>
      </c>
      <c r="C40" s="1"/>
    </row>
    <row r="41" ht="25.15" customHeight="1" spans="1:3">
      <c r="A41" s="27" t="s">
        <v>534</v>
      </c>
      <c r="B41" s="28" t="s">
        <v>535</v>
      </c>
      <c r="C41" s="1"/>
    </row>
  </sheetData>
  <mergeCells count="7">
    <mergeCell ref="A1:C1"/>
    <mergeCell ref="A6:C6"/>
    <mergeCell ref="A16:C16"/>
    <mergeCell ref="A22:C22"/>
    <mergeCell ref="A27:C27"/>
    <mergeCell ref="A32:C32"/>
    <mergeCell ref="A36:C36"/>
  </mergeCells>
  <pageMargins left="0.7" right="0.7" top="0.75" bottom="0.75" header="0.3" footer="0.3"/>
  <pageSetup paperSize="9" orientation="portrait" horizontalDpi="1200" verticalDpi="12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P18" sqref="P18"/>
    </sheetView>
  </sheetViews>
  <sheetFormatPr defaultColWidth="9" defaultRowHeight="14" outlineLevelCol="5"/>
  <cols>
    <col min="1" max="1" width="5.71323529411765" customWidth="1"/>
    <col min="2" max="2" width="17.8529411764706" customWidth="1"/>
    <col min="3" max="3" width="26.4264705882353" customWidth="1"/>
    <col min="4" max="4" width="17.7132352941176" customWidth="1"/>
    <col min="5" max="5" width="17" customWidth="1"/>
    <col min="6" max="6" width="14.8529411764706" customWidth="1"/>
  </cols>
  <sheetData>
    <row r="1" ht="47.45" customHeight="1" spans="1:6">
      <c r="A1" s="17" t="s">
        <v>0</v>
      </c>
      <c r="B1" s="18" t="s">
        <v>596</v>
      </c>
      <c r="C1" s="18" t="s">
        <v>597</v>
      </c>
      <c r="D1" s="18" t="s">
        <v>598</v>
      </c>
      <c r="E1" s="18" t="s">
        <v>599</v>
      </c>
      <c r="F1" s="18"/>
    </row>
    <row r="2" ht="21" customHeight="1" spans="1:6">
      <c r="A2" s="19">
        <v>1</v>
      </c>
      <c r="B2" s="20" t="s">
        <v>600</v>
      </c>
      <c r="C2" s="21" t="s">
        <v>601</v>
      </c>
      <c r="D2" s="21"/>
      <c r="E2" s="21"/>
      <c r="F2" s="21"/>
    </row>
    <row r="3" ht="21.6" customHeight="1" spans="1:6">
      <c r="A3" s="19">
        <v>2</v>
      </c>
      <c r="B3" s="22"/>
      <c r="C3" s="21" t="s">
        <v>602</v>
      </c>
      <c r="D3" s="21"/>
      <c r="E3" s="21"/>
      <c r="F3" s="21"/>
    </row>
    <row r="4" ht="15" spans="1:6">
      <c r="A4" s="19">
        <v>3</v>
      </c>
      <c r="B4" s="22"/>
      <c r="C4" s="21" t="s">
        <v>603</v>
      </c>
      <c r="D4" s="21"/>
      <c r="E4" s="21"/>
      <c r="F4" s="21"/>
    </row>
    <row r="5" ht="21.6" customHeight="1" spans="1:6">
      <c r="A5" s="19">
        <v>4</v>
      </c>
      <c r="B5" s="22"/>
      <c r="C5" s="21" t="s">
        <v>604</v>
      </c>
      <c r="D5" s="21"/>
      <c r="E5" s="21"/>
      <c r="F5" s="21"/>
    </row>
    <row r="6" ht="23.45" customHeight="1" spans="1:6">
      <c r="A6" s="19">
        <v>5</v>
      </c>
      <c r="B6" s="22"/>
      <c r="C6" s="21" t="s">
        <v>605</v>
      </c>
      <c r="D6" s="21"/>
      <c r="E6" s="21"/>
      <c r="F6" s="21"/>
    </row>
    <row r="7" ht="25.15" customHeight="1" spans="1:6">
      <c r="A7" s="19">
        <v>6</v>
      </c>
      <c r="B7" s="22"/>
      <c r="C7" s="21" t="s">
        <v>606</v>
      </c>
      <c r="D7" s="21"/>
      <c r="E7" s="21"/>
      <c r="F7" s="21"/>
    </row>
    <row r="8" ht="15" spans="1:6">
      <c r="A8" s="19">
        <v>7</v>
      </c>
      <c r="B8" s="22"/>
      <c r="C8" s="21" t="s">
        <v>607</v>
      </c>
      <c r="D8" s="21"/>
      <c r="E8" s="21"/>
      <c r="F8" s="21"/>
    </row>
    <row r="9" ht="15" spans="1:6">
      <c r="A9" s="19">
        <v>8</v>
      </c>
      <c r="B9" s="23"/>
      <c r="C9" s="21" t="s">
        <v>608</v>
      </c>
      <c r="D9" s="21"/>
      <c r="E9" s="21"/>
      <c r="F9" s="21"/>
    </row>
    <row r="10" ht="29" spans="1:6">
      <c r="A10" s="19">
        <v>9</v>
      </c>
      <c r="B10" s="20" t="s">
        <v>609</v>
      </c>
      <c r="C10" s="21" t="s">
        <v>610</v>
      </c>
      <c r="D10" s="21"/>
      <c r="E10" s="21"/>
      <c r="F10" s="21"/>
    </row>
    <row r="11" ht="29" spans="1:6">
      <c r="A11" s="19">
        <v>10</v>
      </c>
      <c r="B11" s="22"/>
      <c r="C11" s="21" t="s">
        <v>611</v>
      </c>
      <c r="D11" s="21"/>
      <c r="E11" s="21"/>
      <c r="F11" s="21"/>
    </row>
    <row r="12" ht="29" spans="1:6">
      <c r="A12" s="19">
        <v>11</v>
      </c>
      <c r="B12" s="22"/>
      <c r="C12" s="21" t="s">
        <v>612</v>
      </c>
      <c r="D12" s="21"/>
      <c r="E12" s="21"/>
      <c r="F12" s="21"/>
    </row>
    <row r="13" ht="34.9" customHeight="1" spans="1:6">
      <c r="A13" s="19">
        <v>12</v>
      </c>
      <c r="B13" s="22"/>
      <c r="C13" s="21" t="s">
        <v>613</v>
      </c>
      <c r="D13" s="21"/>
      <c r="E13" s="21"/>
      <c r="F13" s="21"/>
    </row>
    <row r="14" ht="29.45" customHeight="1" spans="1:6">
      <c r="A14" s="19">
        <v>13</v>
      </c>
      <c r="B14" s="22"/>
      <c r="C14" s="21" t="s">
        <v>614</v>
      </c>
      <c r="D14" s="21"/>
      <c r="E14" s="21"/>
      <c r="F14" s="21"/>
    </row>
    <row r="15" ht="15" spans="1:6">
      <c r="A15" s="19">
        <v>14</v>
      </c>
      <c r="B15" s="22"/>
      <c r="C15" s="21" t="s">
        <v>615</v>
      </c>
      <c r="D15" s="21"/>
      <c r="E15" s="21"/>
      <c r="F15" s="21"/>
    </row>
    <row r="16" ht="15" spans="1:6">
      <c r="A16" s="19">
        <v>15</v>
      </c>
      <c r="B16" s="23"/>
      <c r="C16" s="21" t="s">
        <v>616</v>
      </c>
      <c r="D16" s="21"/>
      <c r="E16" s="21"/>
      <c r="F16" s="21"/>
    </row>
    <row r="17" ht="29" spans="1:6">
      <c r="A17" s="19">
        <v>16</v>
      </c>
      <c r="B17" s="20" t="s">
        <v>617</v>
      </c>
      <c r="C17" s="21" t="s">
        <v>618</v>
      </c>
      <c r="D17" s="21"/>
      <c r="E17" s="21"/>
      <c r="F17" s="21"/>
    </row>
    <row r="18" ht="24.6" customHeight="1" spans="1:6">
      <c r="A18" s="19">
        <v>17</v>
      </c>
      <c r="B18" s="22"/>
      <c r="C18" s="21" t="s">
        <v>619</v>
      </c>
      <c r="D18" s="21"/>
      <c r="E18" s="21"/>
      <c r="F18" s="21"/>
    </row>
    <row r="19" ht="15" spans="1:6">
      <c r="A19" s="19">
        <v>18</v>
      </c>
      <c r="B19" s="22"/>
      <c r="C19" s="21" t="s">
        <v>620</v>
      </c>
      <c r="D19" s="21"/>
      <c r="E19" s="21"/>
      <c r="F19" s="21"/>
    </row>
    <row r="20" ht="15" spans="1:6">
      <c r="A20" s="19">
        <v>19</v>
      </c>
      <c r="B20" s="23"/>
      <c r="C20" s="21" t="s">
        <v>621</v>
      </c>
      <c r="D20" s="21"/>
      <c r="E20" s="21"/>
      <c r="F20" s="21"/>
    </row>
    <row r="21" ht="29.45" customHeight="1" spans="1:6">
      <c r="A21" s="19">
        <v>20</v>
      </c>
      <c r="B21" s="20" t="s">
        <v>622</v>
      </c>
      <c r="C21" s="21" t="s">
        <v>623</v>
      </c>
      <c r="D21" s="21"/>
      <c r="E21" s="21"/>
      <c r="F21" s="21"/>
    </row>
    <row r="22" ht="15" spans="1:6">
      <c r="A22" s="19">
        <v>21</v>
      </c>
      <c r="B22" s="22"/>
      <c r="C22" s="21" t="s">
        <v>624</v>
      </c>
      <c r="D22" s="21"/>
      <c r="E22" s="21"/>
      <c r="F22" s="21"/>
    </row>
    <row r="23" ht="15" spans="1:6">
      <c r="A23" s="19">
        <v>22</v>
      </c>
      <c r="B23" s="22"/>
      <c r="C23" s="21" t="s">
        <v>625</v>
      </c>
      <c r="D23" s="21"/>
      <c r="E23" s="21"/>
      <c r="F23" s="21"/>
    </row>
    <row r="24" ht="31.9" customHeight="1" spans="1:6">
      <c r="A24" s="19">
        <v>23</v>
      </c>
      <c r="B24" s="22"/>
      <c r="C24" s="21" t="s">
        <v>626</v>
      </c>
      <c r="D24" s="21"/>
      <c r="E24" s="21"/>
      <c r="F24" s="21"/>
    </row>
    <row r="25" ht="36" customHeight="1" spans="1:6">
      <c r="A25" s="19">
        <v>24</v>
      </c>
      <c r="B25" s="23"/>
      <c r="C25" s="21" t="s">
        <v>627</v>
      </c>
      <c r="D25" s="21"/>
      <c r="E25" s="21"/>
      <c r="F25" s="21"/>
    </row>
  </sheetData>
  <mergeCells count="4">
    <mergeCell ref="B2:B9"/>
    <mergeCell ref="B10:B16"/>
    <mergeCell ref="B17:B20"/>
    <mergeCell ref="B21:B25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24" sqref="A24"/>
    </sheetView>
  </sheetViews>
  <sheetFormatPr defaultColWidth="9" defaultRowHeight="14" outlineLevelRow="2"/>
  <cols>
    <col min="1" max="1" width="120.286764705882" customWidth="1"/>
  </cols>
  <sheetData>
    <row r="1" ht="29" spans="1:1">
      <c r="A1" s="15" t="s">
        <v>628</v>
      </c>
    </row>
    <row r="2" spans="1:1">
      <c r="A2" s="16"/>
    </row>
    <row r="3" spans="1:1">
      <c r="A3" s="16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D14" sqref="D13:D14"/>
    </sheetView>
  </sheetViews>
  <sheetFormatPr defaultColWidth="9" defaultRowHeight="14"/>
  <cols>
    <col min="1" max="1" width="3" customWidth="1"/>
    <col min="2" max="2" width="38.5735294117647" customWidth="1"/>
    <col min="3" max="3" width="13.8529411764706" customWidth="1"/>
    <col min="4" max="4" width="12.2867647058824" customWidth="1"/>
    <col min="5" max="5" width="18.4264705882353" customWidth="1"/>
    <col min="6" max="6" width="14.8529411764706" customWidth="1"/>
    <col min="7" max="7" width="13.8529411764706" customWidth="1"/>
    <col min="8" max="8" width="15.4264705882353" customWidth="1"/>
    <col min="9" max="9" width="16.5735294117647" customWidth="1"/>
  </cols>
  <sheetData>
    <row r="1" ht="51" spans="1:8">
      <c r="A1" s="1" t="s">
        <v>0</v>
      </c>
      <c r="B1" s="2" t="s">
        <v>629</v>
      </c>
      <c r="C1" s="2" t="s">
        <v>630</v>
      </c>
      <c r="D1" s="3" t="s">
        <v>631</v>
      </c>
      <c r="E1" s="11" t="s">
        <v>632</v>
      </c>
      <c r="F1" s="11" t="s">
        <v>633</v>
      </c>
      <c r="G1" s="11" t="s">
        <v>634</v>
      </c>
      <c r="H1" s="12" t="s">
        <v>635</v>
      </c>
    </row>
    <row r="2" ht="17" spans="1:8">
      <c r="A2" s="1">
        <v>1</v>
      </c>
      <c r="B2" s="4" t="s">
        <v>636</v>
      </c>
      <c r="C2" s="5">
        <v>400000000</v>
      </c>
      <c r="D2" s="6">
        <v>49140000</v>
      </c>
      <c r="E2" s="13" t="s">
        <v>637</v>
      </c>
      <c r="F2" s="7">
        <f>C2/D2</f>
        <v>8.14000814000814</v>
      </c>
      <c r="G2" s="7"/>
      <c r="H2" s="1"/>
    </row>
    <row r="3" ht="17" spans="1:11">
      <c r="A3" s="1">
        <v>4</v>
      </c>
      <c r="B3" s="7" t="s">
        <v>638</v>
      </c>
      <c r="C3" s="5">
        <v>432114336</v>
      </c>
      <c r="D3" s="8"/>
      <c r="E3" s="7"/>
      <c r="F3" s="7"/>
      <c r="G3" s="7"/>
      <c r="H3" s="1"/>
      <c r="I3" s="14">
        <f>50*8000000</f>
        <v>400000000</v>
      </c>
      <c r="K3">
        <f>50*0.7*6*260</f>
        <v>54600</v>
      </c>
    </row>
    <row r="4" ht="16.8" spans="1:11">
      <c r="A4" s="1">
        <v>7</v>
      </c>
      <c r="B4" s="4" t="s">
        <v>639</v>
      </c>
      <c r="C4" s="5">
        <v>50000000</v>
      </c>
      <c r="D4" s="6">
        <v>6000000</v>
      </c>
      <c r="E4" s="7"/>
      <c r="F4" s="7">
        <f>C4/D4</f>
        <v>8.33333333333333</v>
      </c>
      <c r="G4" s="7"/>
      <c r="H4" s="1"/>
      <c r="K4">
        <f>K3*900</f>
        <v>49140000</v>
      </c>
    </row>
    <row r="5" ht="16.8" spans="1:8">
      <c r="A5" s="1">
        <v>8</v>
      </c>
      <c r="B5" s="4" t="s">
        <v>640</v>
      </c>
      <c r="C5" s="5">
        <v>100000000</v>
      </c>
      <c r="D5" s="6">
        <v>15000000</v>
      </c>
      <c r="E5" s="7"/>
      <c r="F5" s="7">
        <f>C5/D5</f>
        <v>6.66666666666667</v>
      </c>
      <c r="G5" s="7"/>
      <c r="H5" s="1"/>
    </row>
    <row r="6" ht="16.8" spans="1:8">
      <c r="A6" s="1">
        <v>9</v>
      </c>
      <c r="B6" s="4" t="s">
        <v>641</v>
      </c>
      <c r="C6" s="5">
        <v>20800000000</v>
      </c>
      <c r="D6" s="6">
        <v>1007500000</v>
      </c>
      <c r="E6" s="7"/>
      <c r="F6" s="7">
        <f>C6/D6</f>
        <v>20.6451612903226</v>
      </c>
      <c r="G6" s="7"/>
      <c r="H6" s="1"/>
    </row>
    <row r="7" ht="34" spans="1:8">
      <c r="A7" s="1">
        <v>10</v>
      </c>
      <c r="B7" s="7" t="s">
        <v>642</v>
      </c>
      <c r="C7" s="4"/>
      <c r="D7" s="9"/>
      <c r="E7" s="7"/>
      <c r="F7" s="7"/>
      <c r="G7" s="7"/>
      <c r="H7" s="1"/>
    </row>
    <row r="8" ht="16.8" spans="1:8">
      <c r="A8" s="1">
        <v>11</v>
      </c>
      <c r="B8" s="4" t="s">
        <v>643</v>
      </c>
      <c r="C8" s="10">
        <v>93172965.12</v>
      </c>
      <c r="D8" s="6">
        <v>19845000</v>
      </c>
      <c r="E8" s="7"/>
      <c r="F8" s="7">
        <f>C8/D8</f>
        <v>4.6950347755102</v>
      </c>
      <c r="G8" s="7"/>
      <c r="H8" s="1"/>
    </row>
    <row r="9" ht="34" spans="1:8">
      <c r="A9" s="1">
        <v>12</v>
      </c>
      <c r="B9" s="7" t="s">
        <v>644</v>
      </c>
      <c r="C9" s="4"/>
      <c r="D9" s="9"/>
      <c r="E9" s="7"/>
      <c r="F9" s="7"/>
      <c r="G9" s="7"/>
      <c r="H9" s="1"/>
    </row>
    <row r="10" ht="34" spans="1:8">
      <c r="A10" s="1">
        <v>13</v>
      </c>
      <c r="B10" s="7" t="s">
        <v>645</v>
      </c>
      <c r="C10" s="4"/>
      <c r="D10" s="9"/>
      <c r="E10" s="7"/>
      <c r="F10" s="7"/>
      <c r="G10" s="7"/>
      <c r="H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Общие свединия </vt:lpstr>
      <vt:lpstr>Свод по зданиям</vt:lpstr>
      <vt:lpstr>Ограждающие к-я</vt:lpstr>
      <vt:lpstr>Электроэнергия</vt:lpstr>
      <vt:lpstr>Газ</vt:lpstr>
      <vt:lpstr>Вода</vt:lpstr>
      <vt:lpstr>Расходы на ед.пр</vt:lpstr>
      <vt:lpstr>котель</vt:lpstr>
      <vt:lpstr>ФЭС</vt:lpstr>
      <vt:lpstr>Кондиционирования</vt:lpstr>
      <vt:lpstr>Вентиляция </vt:lpstr>
      <vt:lpstr>Отвод п-с</vt:lpstr>
      <vt:lpstr>Холодильник</vt:lpstr>
      <vt:lpstr>значения</vt:lpstr>
      <vt:lpstr>мероприятия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Said Kadirov</cp:lastModifiedBy>
  <dcterms:created xsi:type="dcterms:W3CDTF">2015-01-28T11:43:00Z</dcterms:created>
  <cp:lastPrinted>2024-08-08T18:11:00Z</cp:lastPrinted>
  <dcterms:modified xsi:type="dcterms:W3CDTF">2025-08-13T12:33:04Z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8916BF3EAED97142B03F9C6803908488_42</vt:lpwstr>
  </property>
  <property fmtid="{D5CDD505-2E9C-101B-9397-08002B2CF9AE}" pid="3" name="KSOProductBuildVer">
    <vt:lpwstr>1033-12.1.22226.22226</vt:lpwstr>
  </property>
</Properties>
</file>