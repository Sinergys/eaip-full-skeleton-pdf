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ЭтаКнига"/>
  <mc:AlternateContent xmlns:mc="http://schemas.openxmlformats.org/markup-compatibility/2006">
    <mc:Choice Requires="x15">
      <x15ac:absPath xmlns:x15ac="http://schemas.microsoft.com/office/spreadsheetml/2010/11/ac" url="C:\Users\DELL\Documents\AUDIT\METIN\Энерг паспорт\"/>
    </mc:Choice>
  </mc:AlternateContent>
  <xr:revisionPtr revIDLastSave="0" documentId="13_ncr:1_{AB03A357-2720-4773-8ED7-BC50464EF89E}" xr6:coauthVersionLast="47" xr6:coauthVersionMax="47" xr10:uidLastSave="{00000000-0000-0000-0000-000000000000}"/>
  <bookViews>
    <workbookView xWindow="-108" yWindow="-108" windowWidth="23256" windowHeight="12456" xr2:uid="{00000000-000D-0000-FFFF-FFFF00000000}"/>
  </bookViews>
  <sheets>
    <sheet name="Sheet1" sheetId="8" r:id="rId1"/>
    <sheet name="Узел учета " sheetId="1" r:id="rId2"/>
    <sheet name="Структура пр 2" sheetId="2" r:id="rId3"/>
    <sheet name="Баланс" sheetId="3" r:id="rId4"/>
    <sheet name="Динамика ср" sheetId="4" r:id="rId5"/>
    <sheet name="мазут,уголь 5 " sheetId="9" r:id="rId6"/>
    <sheet name="паспорт здание " sheetId="10" r:id="rId7"/>
    <sheet name="Расход  на ед.п" sheetId="5" r:id="rId8"/>
    <sheet name="Мероприятия" sheetId="11" r:id="rId9"/>
    <sheet name="Объемы продукции" sheetId="6" r:id="rId10"/>
    <sheet name="Продукция" sheetId="7" r:id="rId11"/>
  </sheets>
  <externalReferences>
    <externalReference r:id="rId12"/>
    <externalReference r:id="rId13"/>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X59" i="2" l="1"/>
  <c r="BD59" i="2"/>
  <c r="BF59" i="2"/>
  <c r="AX37" i="2"/>
  <c r="BD37" i="2"/>
  <c r="BF37" i="2"/>
  <c r="AX15" i="2"/>
  <c r="BD15" i="2"/>
  <c r="AI59" i="2"/>
  <c r="AO59" i="2"/>
  <c r="AI37" i="2"/>
  <c r="AO37" i="2"/>
  <c r="AQ37" i="2"/>
  <c r="AI15" i="2"/>
  <c r="AO15" i="2"/>
  <c r="T15" i="2"/>
  <c r="Z15" i="2"/>
  <c r="T37" i="2"/>
  <c r="Z37" i="2"/>
  <c r="T59" i="2"/>
  <c r="Z59" i="2"/>
  <c r="E59" i="2"/>
  <c r="K59" i="2"/>
  <c r="E37" i="2"/>
  <c r="K37" i="2"/>
  <c r="E15" i="2"/>
  <c r="K15" i="2"/>
  <c r="M15" i="2"/>
  <c r="AN10" i="3"/>
  <c r="AM10" i="3"/>
  <c r="AL11" i="3"/>
  <c r="AL9" i="3"/>
  <c r="R11" i="9"/>
  <c r="S11" i="9"/>
  <c r="T11" i="9"/>
  <c r="U11" i="9"/>
  <c r="V11" i="9"/>
  <c r="R26" i="9"/>
  <c r="V26" i="9" s="1"/>
  <c r="S26" i="9"/>
  <c r="T26" i="9"/>
  <c r="U26" i="9"/>
  <c r="R41" i="9"/>
  <c r="S41" i="9"/>
  <c r="V41" i="9" s="1"/>
  <c r="T41" i="9"/>
  <c r="U41" i="9"/>
  <c r="C52" i="3" l="1"/>
  <c r="C33" i="3"/>
  <c r="C15" i="3"/>
  <c r="C31" i="4"/>
  <c r="G14" i="4"/>
  <c r="F14" i="4"/>
  <c r="E14" i="4"/>
  <c r="D14" i="4"/>
  <c r="C14" i="4"/>
  <c r="G48" i="4"/>
  <c r="F48" i="4"/>
  <c r="E48" i="4"/>
  <c r="D48" i="4"/>
  <c r="C48" i="4"/>
  <c r="G31" i="4"/>
  <c r="F31" i="4"/>
  <c r="E31" i="4"/>
  <c r="D31" i="4"/>
  <c r="M23" i="4"/>
  <c r="M39" i="4" s="1"/>
  <c r="U52" i="3"/>
  <c r="T52" i="3"/>
  <c r="S52" i="3"/>
  <c r="R52" i="3"/>
  <c r="U33" i="3"/>
  <c r="T33" i="3"/>
  <c r="S33" i="3"/>
  <c r="R33" i="3"/>
  <c r="U15" i="3"/>
  <c r="T15" i="3"/>
  <c r="S15" i="3"/>
  <c r="R15" i="3"/>
  <c r="H7" i="6"/>
  <c r="F7" i="6"/>
  <c r="E7" i="6"/>
  <c r="D7" i="6"/>
  <c r="M4" i="6" s="1"/>
  <c r="C7" i="6"/>
  <c r="M6" i="6"/>
  <c r="L6" i="6"/>
  <c r="K6" i="6"/>
  <c r="J6" i="6"/>
  <c r="I6" i="6"/>
  <c r="H6" i="6"/>
  <c r="G6" i="6"/>
  <c r="M5" i="6"/>
  <c r="L5" i="6"/>
  <c r="K5" i="6"/>
  <c r="J5" i="6"/>
  <c r="I5" i="6"/>
  <c r="H5" i="6"/>
  <c r="G5" i="6"/>
  <c r="L4" i="6"/>
  <c r="K4" i="6"/>
  <c r="J4" i="6"/>
  <c r="I4" i="6"/>
  <c r="H4" i="6"/>
  <c r="G4" i="6"/>
  <c r="M3" i="6"/>
  <c r="L3" i="6"/>
  <c r="K3" i="6"/>
  <c r="J3" i="6"/>
  <c r="I3" i="6"/>
  <c r="H3" i="6"/>
  <c r="G3" i="6"/>
  <c r="M2" i="6"/>
  <c r="L2" i="6"/>
  <c r="K2" i="6"/>
  <c r="J2" i="6"/>
  <c r="I2" i="6"/>
  <c r="H2" i="6"/>
  <c r="G2" i="6"/>
  <c r="Z18" i="5"/>
  <c r="AA18" i="5" s="1"/>
  <c r="AB18" i="5" s="1"/>
  <c r="Y18" i="5"/>
  <c r="W18" i="5"/>
  <c r="T18" i="5"/>
  <c r="V76" i="3" s="1"/>
  <c r="O18" i="5"/>
  <c r="Z17" i="5"/>
  <c r="Y17" i="5"/>
  <c r="AA17" i="5" s="1"/>
  <c r="AB17" i="5" s="1"/>
  <c r="W17" i="5"/>
  <c r="T17" i="5"/>
  <c r="Z16" i="5"/>
  <c r="Y16" i="5"/>
  <c r="AA16" i="5" s="1"/>
  <c r="AB16" i="5" s="1"/>
  <c r="W16" i="5"/>
  <c r="T16" i="5"/>
  <c r="Z15" i="5"/>
  <c r="Y15" i="5"/>
  <c r="AA15" i="5" s="1"/>
  <c r="P47" i="4"/>
  <c r="O47" i="4"/>
  <c r="Q47" i="4" s="1"/>
  <c r="N47" i="4"/>
  <c r="M47" i="4"/>
  <c r="F47" i="4"/>
  <c r="E47" i="4"/>
  <c r="D47" i="4"/>
  <c r="C47" i="4"/>
  <c r="P46" i="4"/>
  <c r="O46" i="4"/>
  <c r="N46" i="4"/>
  <c r="M46" i="4"/>
  <c r="Q46" i="4" s="1"/>
  <c r="G46" i="4"/>
  <c r="F46" i="4"/>
  <c r="E46" i="4"/>
  <c r="D46" i="4"/>
  <c r="C46" i="4"/>
  <c r="P44" i="4"/>
  <c r="Q44" i="4" s="1"/>
  <c r="O44" i="4"/>
  <c r="N44" i="4"/>
  <c r="M44" i="4"/>
  <c r="F44" i="4"/>
  <c r="E44" i="4"/>
  <c r="D44" i="4"/>
  <c r="C44" i="4"/>
  <c r="L43" i="4"/>
  <c r="K43" i="4"/>
  <c r="J43" i="4"/>
  <c r="I43" i="4"/>
  <c r="H43" i="4"/>
  <c r="G43" i="4"/>
  <c r="F43" i="4"/>
  <c r="E43" i="4"/>
  <c r="C43" i="4"/>
  <c r="Y40" i="4"/>
  <c r="V40" i="4"/>
  <c r="Y39" i="4"/>
  <c r="V39" i="4"/>
  <c r="L39" i="4"/>
  <c r="K39" i="4"/>
  <c r="J39" i="4"/>
  <c r="I39" i="4"/>
  <c r="H39" i="4"/>
  <c r="Y38" i="4"/>
  <c r="V38" i="4"/>
  <c r="P30" i="4"/>
  <c r="Q30" i="4" s="1"/>
  <c r="O30" i="4"/>
  <c r="N30" i="4"/>
  <c r="M30" i="4"/>
  <c r="F30" i="4"/>
  <c r="G30" i="4" s="1"/>
  <c r="E30" i="4"/>
  <c r="D30" i="4"/>
  <c r="C30" i="4"/>
  <c r="P29" i="4"/>
  <c r="Q29" i="4" s="1"/>
  <c r="O29" i="4"/>
  <c r="N29" i="4"/>
  <c r="M29" i="4"/>
  <c r="F29" i="4"/>
  <c r="E29" i="4"/>
  <c r="D29" i="4"/>
  <c r="C29" i="4"/>
  <c r="P27" i="4"/>
  <c r="O27" i="4"/>
  <c r="O43" i="4" s="1"/>
  <c r="N27" i="4"/>
  <c r="N43" i="4" s="1"/>
  <c r="M27" i="4"/>
  <c r="M43" i="4" s="1"/>
  <c r="G27" i="4"/>
  <c r="F27" i="4"/>
  <c r="E27" i="4"/>
  <c r="D27" i="4"/>
  <c r="D43" i="4" s="1"/>
  <c r="C27" i="4"/>
  <c r="N26" i="4"/>
  <c r="L26" i="4"/>
  <c r="K26" i="4"/>
  <c r="J26" i="4"/>
  <c r="I26" i="4"/>
  <c r="H26" i="4"/>
  <c r="D26" i="4"/>
  <c r="F23" i="4"/>
  <c r="M22" i="4"/>
  <c r="L22" i="4"/>
  <c r="K22" i="4"/>
  <c r="J22" i="4"/>
  <c r="I22" i="4"/>
  <c r="H22" i="4"/>
  <c r="F22" i="4"/>
  <c r="P13" i="4"/>
  <c r="Q13" i="4" s="1"/>
  <c r="O13" i="4"/>
  <c r="N13" i="4"/>
  <c r="M13" i="4"/>
  <c r="F13" i="4"/>
  <c r="E13" i="4"/>
  <c r="D13" i="4"/>
  <c r="C13" i="4"/>
  <c r="P12" i="4"/>
  <c r="O12" i="4"/>
  <c r="N12" i="4"/>
  <c r="M12" i="4"/>
  <c r="G12" i="4"/>
  <c r="F12" i="4"/>
  <c r="E12" i="4"/>
  <c r="D12" i="4"/>
  <c r="C12" i="4"/>
  <c r="P10" i="4"/>
  <c r="O10" i="4"/>
  <c r="O26" i="4" s="1"/>
  <c r="N10" i="4"/>
  <c r="M10" i="4"/>
  <c r="M26" i="4" s="1"/>
  <c r="F10" i="4"/>
  <c r="E10" i="4"/>
  <c r="E26" i="4" s="1"/>
  <c r="D10" i="4"/>
  <c r="C10" i="4"/>
  <c r="C26" i="4" s="1"/>
  <c r="M6" i="4"/>
  <c r="D6" i="4"/>
  <c r="D22" i="4" s="1"/>
  <c r="C6" i="4"/>
  <c r="V75" i="3"/>
  <c r="V74" i="3"/>
  <c r="S68" i="3"/>
  <c r="U68" i="3" s="1"/>
  <c r="U67" i="3"/>
  <c r="U66" i="3"/>
  <c r="U65" i="3"/>
  <c r="U64" i="3"/>
  <c r="S59" i="3"/>
  <c r="U59" i="3" s="1"/>
  <c r="W65" i="3" s="1"/>
  <c r="AZ52" i="3"/>
  <c r="AP52" i="3"/>
  <c r="AK52" i="3"/>
  <c r="AJ52" i="3"/>
  <c r="AA52" i="3"/>
  <c r="V52" i="3"/>
  <c r="AU52" i="3" s="1"/>
  <c r="BE52" i="3" s="1"/>
  <c r="AM51" i="3"/>
  <c r="AK51" i="3"/>
  <c r="AI51" i="3"/>
  <c r="AH51" i="3"/>
  <c r="AG51" i="3"/>
  <c r="AF51" i="3"/>
  <c r="AE51" i="3"/>
  <c r="AD51" i="3"/>
  <c r="AC51" i="3"/>
  <c r="AB51" i="3"/>
  <c r="AP50" i="3"/>
  <c r="AO50" i="3"/>
  <c r="AN50" i="3"/>
  <c r="AM50" i="3"/>
  <c r="AL50" i="3"/>
  <c r="AK50" i="3"/>
  <c r="AI50" i="3"/>
  <c r="AH50" i="3"/>
  <c r="AG50" i="3"/>
  <c r="AF50" i="3"/>
  <c r="AE50" i="3"/>
  <c r="AD50" i="3"/>
  <c r="AJ50" i="3" s="1"/>
  <c r="AC50" i="3"/>
  <c r="AB50" i="3"/>
  <c r="Z50" i="3"/>
  <c r="AY50" i="3" s="1"/>
  <c r="Y50" i="3"/>
  <c r="AX50" i="3" s="1"/>
  <c r="X50" i="3"/>
  <c r="W50" i="3"/>
  <c r="AV50" i="3" s="1"/>
  <c r="U50" i="3"/>
  <c r="T50" i="3"/>
  <c r="AS50" i="3" s="1"/>
  <c r="BC50" i="3" s="1"/>
  <c r="O15" i="5" s="1"/>
  <c r="S50" i="3"/>
  <c r="AR50" i="3" s="1"/>
  <c r="R50" i="3"/>
  <c r="AQ50" i="3" s="1"/>
  <c r="AR49" i="3"/>
  <c r="AQ49" i="3"/>
  <c r="BA49" i="3" s="1"/>
  <c r="AO49" i="3"/>
  <c r="AN49" i="3"/>
  <c r="AM49" i="3"/>
  <c r="AL49" i="3"/>
  <c r="AP49" i="3" s="1"/>
  <c r="AK49" i="3"/>
  <c r="AI49" i="3"/>
  <c r="AH49" i="3"/>
  <c r="AG49" i="3"/>
  <c r="AF49" i="3"/>
  <c r="AJ49" i="3" s="1"/>
  <c r="AE49" i="3"/>
  <c r="AD49" i="3"/>
  <c r="AC49" i="3"/>
  <c r="AB49" i="3"/>
  <c r="Z49" i="3"/>
  <c r="Y49" i="3"/>
  <c r="AX49" i="3" s="1"/>
  <c r="X49" i="3"/>
  <c r="AW49" i="3" s="1"/>
  <c r="W49" i="3"/>
  <c r="AV49" i="3" s="1"/>
  <c r="U49" i="3"/>
  <c r="T49" i="3"/>
  <c r="AS49" i="3" s="1"/>
  <c r="S49" i="3"/>
  <c r="R49" i="3"/>
  <c r="AT48" i="3"/>
  <c r="AR48" i="3"/>
  <c r="BB48" i="3" s="1"/>
  <c r="AQ48" i="3"/>
  <c r="BA48" i="3" s="1"/>
  <c r="AO48" i="3"/>
  <c r="AN48" i="3"/>
  <c r="AM48" i="3"/>
  <c r="AL48" i="3"/>
  <c r="AP48" i="3" s="1"/>
  <c r="AK48" i="3"/>
  <c r="AI48" i="3"/>
  <c r="AH48" i="3"/>
  <c r="AG48" i="3"/>
  <c r="AF48" i="3"/>
  <c r="AJ48" i="3" s="1"/>
  <c r="AE48" i="3"/>
  <c r="AD48" i="3"/>
  <c r="AC48" i="3"/>
  <c r="AB48" i="3"/>
  <c r="Z48" i="3"/>
  <c r="Y48" i="3"/>
  <c r="AX48" i="3" s="1"/>
  <c r="X48" i="3"/>
  <c r="AW48" i="3" s="1"/>
  <c r="W48" i="3"/>
  <c r="AV48" i="3" s="1"/>
  <c r="U48" i="3"/>
  <c r="T48" i="3"/>
  <c r="S48" i="3"/>
  <c r="R48" i="3"/>
  <c r="BA47" i="3"/>
  <c r="M13" i="5" s="1"/>
  <c r="E10" i="6" s="1"/>
  <c r="E11" i="6" s="1"/>
  <c r="AV47" i="3"/>
  <c r="AT47" i="3"/>
  <c r="AO47" i="3"/>
  <c r="AN47" i="3"/>
  <c r="AM47" i="3"/>
  <c r="AL47" i="3"/>
  <c r="AK47" i="3"/>
  <c r="AI47" i="3"/>
  <c r="AH47" i="3"/>
  <c r="AG47" i="3"/>
  <c r="AF47" i="3"/>
  <c r="AE47" i="3"/>
  <c r="AD47" i="3"/>
  <c r="AC47" i="3"/>
  <c r="AB47" i="3"/>
  <c r="Z47" i="3"/>
  <c r="Y47" i="3"/>
  <c r="Y51" i="3" s="1"/>
  <c r="AX51" i="3" s="1"/>
  <c r="X47" i="3"/>
  <c r="W47" i="3"/>
  <c r="U47" i="3"/>
  <c r="T47" i="3"/>
  <c r="AS47" i="3" s="1"/>
  <c r="S47" i="3"/>
  <c r="AR47" i="3" s="1"/>
  <c r="R47" i="3"/>
  <c r="AQ47" i="3" s="1"/>
  <c r="BC46" i="3"/>
  <c r="O16" i="5" s="1"/>
  <c r="AY46" i="3"/>
  <c r="AW46" i="3"/>
  <c r="BB46" i="3" s="1"/>
  <c r="N16" i="5" s="1"/>
  <c r="AS46" i="3"/>
  <c r="AO46" i="3"/>
  <c r="AN46" i="3"/>
  <c r="AM46" i="3"/>
  <c r="AL46" i="3"/>
  <c r="AK46" i="3"/>
  <c r="AI46" i="3"/>
  <c r="AH46" i="3"/>
  <c r="AG46" i="3"/>
  <c r="AF46" i="3"/>
  <c r="AE46" i="3"/>
  <c r="AD46" i="3"/>
  <c r="AC46" i="3"/>
  <c r="AB46" i="3"/>
  <c r="Z46" i="3"/>
  <c r="Y46" i="3"/>
  <c r="AX46" i="3" s="1"/>
  <c r="X46" i="3"/>
  <c r="W46" i="3"/>
  <c r="AV46" i="3" s="1"/>
  <c r="V46" i="3"/>
  <c r="AU46" i="3" s="1"/>
  <c r="U46" i="3"/>
  <c r="AT46" i="3" s="1"/>
  <c r="BD46" i="3" s="1"/>
  <c r="P16" i="5" s="1"/>
  <c r="T46" i="3"/>
  <c r="S46" i="3"/>
  <c r="AR46" i="3" s="1"/>
  <c r="R46" i="3"/>
  <c r="AQ46" i="3" s="1"/>
  <c r="C46" i="3"/>
  <c r="BA45" i="3"/>
  <c r="M18" i="5" s="1"/>
  <c r="AY45" i="3"/>
  <c r="AS45" i="3"/>
  <c r="BC45" i="3" s="1"/>
  <c r="AQ45" i="3"/>
  <c r="AO45" i="3"/>
  <c r="AN45" i="3"/>
  <c r="AM45" i="3"/>
  <c r="AP45" i="3" s="1"/>
  <c r="AL45" i="3"/>
  <c r="AK45" i="3"/>
  <c r="AI45" i="3"/>
  <c r="AH45" i="3"/>
  <c r="AG45" i="3"/>
  <c r="AF45" i="3"/>
  <c r="AE45" i="3"/>
  <c r="AD45" i="3"/>
  <c r="AJ45" i="3" s="1"/>
  <c r="AC45" i="3"/>
  <c r="AB45" i="3"/>
  <c r="Z45" i="3"/>
  <c r="Y45" i="3"/>
  <c r="AX45" i="3" s="1"/>
  <c r="X45" i="3"/>
  <c r="AW45" i="3" s="1"/>
  <c r="W45" i="3"/>
  <c r="AV45" i="3" s="1"/>
  <c r="U45" i="3"/>
  <c r="T45" i="3"/>
  <c r="S45" i="3"/>
  <c r="AR45" i="3" s="1"/>
  <c r="R45" i="3"/>
  <c r="BA44" i="3"/>
  <c r="AW44" i="3"/>
  <c r="AS44" i="3"/>
  <c r="AQ44" i="3"/>
  <c r="AO44" i="3"/>
  <c r="AN44" i="3"/>
  <c r="AM44" i="3"/>
  <c r="AL44" i="3"/>
  <c r="AK44" i="3"/>
  <c r="AI44" i="3"/>
  <c r="AH44" i="3"/>
  <c r="AG44" i="3"/>
  <c r="AF44" i="3"/>
  <c r="AE44" i="3"/>
  <c r="AD44" i="3"/>
  <c r="AC44" i="3"/>
  <c r="AB44" i="3"/>
  <c r="Z44" i="3"/>
  <c r="Y44" i="3"/>
  <c r="X44" i="3"/>
  <c r="W44" i="3"/>
  <c r="AV44" i="3" s="1"/>
  <c r="U44" i="3"/>
  <c r="T44" i="3"/>
  <c r="S44" i="3"/>
  <c r="AR44" i="3" s="1"/>
  <c r="BB44" i="3" s="1"/>
  <c r="R44" i="3"/>
  <c r="D44" i="3"/>
  <c r="AZ33" i="3"/>
  <c r="AP33" i="3"/>
  <c r="AK33" i="3"/>
  <c r="AJ33" i="3"/>
  <c r="AA33" i="3"/>
  <c r="V33" i="3"/>
  <c r="AU33" i="3" s="1"/>
  <c r="BE33" i="3" s="1"/>
  <c r="AK32" i="3"/>
  <c r="AI32" i="3"/>
  <c r="AH32" i="3"/>
  <c r="AG32" i="3"/>
  <c r="AF32" i="3"/>
  <c r="AE32" i="3"/>
  <c r="AD32" i="3"/>
  <c r="AJ32" i="3" s="1"/>
  <c r="AC32" i="3"/>
  <c r="AB32" i="3"/>
  <c r="X32" i="3"/>
  <c r="AW32" i="3" s="1"/>
  <c r="AW31" i="3"/>
  <c r="AS31" i="3"/>
  <c r="BC31" i="3" s="1"/>
  <c r="J15" i="5" s="1"/>
  <c r="AQ31" i="3"/>
  <c r="AO31" i="3"/>
  <c r="AN31" i="3"/>
  <c r="AM31" i="3"/>
  <c r="AL31" i="3"/>
  <c r="AK31" i="3"/>
  <c r="AI31" i="3"/>
  <c r="AH31" i="3"/>
  <c r="AG31" i="3"/>
  <c r="AF31" i="3"/>
  <c r="AJ31" i="3" s="1"/>
  <c r="AE31" i="3"/>
  <c r="AD31" i="3"/>
  <c r="AC31" i="3"/>
  <c r="AB31" i="3"/>
  <c r="Z31" i="3"/>
  <c r="Y31" i="3"/>
  <c r="AX31" i="3" s="1"/>
  <c r="X31" i="3"/>
  <c r="W31" i="3"/>
  <c r="AV31" i="3" s="1"/>
  <c r="U31" i="3"/>
  <c r="T31" i="3"/>
  <c r="S31" i="3"/>
  <c r="AR31" i="3" s="1"/>
  <c r="BB31" i="3" s="1"/>
  <c r="I15" i="5" s="1"/>
  <c r="R31" i="3"/>
  <c r="AO30" i="3"/>
  <c r="AP30" i="3" s="1"/>
  <c r="AN30" i="3"/>
  <c r="AM30" i="3"/>
  <c r="AL30" i="3"/>
  <c r="AK30" i="3"/>
  <c r="AI30" i="3"/>
  <c r="AH30" i="3"/>
  <c r="AG30" i="3"/>
  <c r="AF30" i="3"/>
  <c r="AE30" i="3"/>
  <c r="AD30" i="3"/>
  <c r="AJ30" i="3" s="1"/>
  <c r="AC30" i="3"/>
  <c r="AB30" i="3"/>
  <c r="Z30" i="3"/>
  <c r="AA30" i="3" s="1"/>
  <c r="AZ30" i="3" s="1"/>
  <c r="Y30" i="3"/>
  <c r="AX30" i="3" s="1"/>
  <c r="X30" i="3"/>
  <c r="AW30" i="3" s="1"/>
  <c r="BB30" i="3" s="1"/>
  <c r="W30" i="3"/>
  <c r="AV30" i="3" s="1"/>
  <c r="U30" i="3"/>
  <c r="T30" i="3"/>
  <c r="AS30" i="3" s="1"/>
  <c r="BC30" i="3" s="1"/>
  <c r="S30" i="3"/>
  <c r="AR30" i="3" s="1"/>
  <c r="R30" i="3"/>
  <c r="AQ30" i="3" s="1"/>
  <c r="BA30" i="3" s="1"/>
  <c r="BC29" i="3"/>
  <c r="AX29" i="3"/>
  <c r="AW29" i="3"/>
  <c r="AV29" i="3"/>
  <c r="AT29" i="3"/>
  <c r="AO29" i="3"/>
  <c r="AP29" i="3" s="1"/>
  <c r="AN29" i="3"/>
  <c r="AM29" i="3"/>
  <c r="AL29" i="3"/>
  <c r="AK29" i="3"/>
  <c r="AI29" i="3"/>
  <c r="AH29" i="3"/>
  <c r="AG29" i="3"/>
  <c r="AF29" i="3"/>
  <c r="AE29" i="3"/>
  <c r="AD29" i="3"/>
  <c r="AJ29" i="3" s="1"/>
  <c r="AC29" i="3"/>
  <c r="AB29" i="3"/>
  <c r="Z29" i="3"/>
  <c r="Y29" i="3"/>
  <c r="Y32" i="3" s="1"/>
  <c r="AX32" i="3" s="1"/>
  <c r="X29" i="3"/>
  <c r="W29" i="3"/>
  <c r="W32" i="3" s="1"/>
  <c r="AV32" i="3" s="1"/>
  <c r="V29" i="3"/>
  <c r="AU29" i="3" s="1"/>
  <c r="U29" i="3"/>
  <c r="T29" i="3"/>
  <c r="AS29" i="3" s="1"/>
  <c r="S29" i="3"/>
  <c r="AR29" i="3" s="1"/>
  <c r="BB29" i="3" s="1"/>
  <c r="R29" i="3"/>
  <c r="AQ29" i="3" s="1"/>
  <c r="C29" i="3"/>
  <c r="AV28" i="3"/>
  <c r="AT28" i="3"/>
  <c r="AQ28" i="3"/>
  <c r="BA28" i="3" s="1"/>
  <c r="H13" i="5" s="1"/>
  <c r="AO28" i="3"/>
  <c r="AP28" i="3" s="1"/>
  <c r="AN28" i="3"/>
  <c r="AM28" i="3"/>
  <c r="AL28" i="3"/>
  <c r="AK28" i="3"/>
  <c r="AI28" i="3"/>
  <c r="AH28" i="3"/>
  <c r="AJ28" i="3" s="1"/>
  <c r="AG28" i="3"/>
  <c r="AF28" i="3"/>
  <c r="AE28" i="3"/>
  <c r="AD28" i="3"/>
  <c r="AC28" i="3"/>
  <c r="AB28" i="3"/>
  <c r="Z28" i="3"/>
  <c r="Y28" i="3"/>
  <c r="AX28" i="3" s="1"/>
  <c r="X28" i="3"/>
  <c r="AW28" i="3" s="1"/>
  <c r="W28" i="3"/>
  <c r="U28" i="3"/>
  <c r="V28" i="3" s="1"/>
  <c r="T28" i="3"/>
  <c r="AS28" i="3" s="1"/>
  <c r="S28" i="3"/>
  <c r="AR28" i="3" s="1"/>
  <c r="R28" i="3"/>
  <c r="AV27" i="3"/>
  <c r="AO27" i="3"/>
  <c r="AP27" i="3" s="1"/>
  <c r="AN27" i="3"/>
  <c r="AM27" i="3"/>
  <c r="AL27" i="3"/>
  <c r="AK27" i="3"/>
  <c r="AI27" i="3"/>
  <c r="AH27" i="3"/>
  <c r="AG27" i="3"/>
  <c r="AF27" i="3"/>
  <c r="AE27" i="3"/>
  <c r="AD27" i="3"/>
  <c r="AJ27" i="3" s="1"/>
  <c r="AC27" i="3"/>
  <c r="AB27" i="3"/>
  <c r="Z27" i="3"/>
  <c r="AY27" i="3" s="1"/>
  <c r="Y27" i="3"/>
  <c r="AX27" i="3" s="1"/>
  <c r="X27" i="3"/>
  <c r="AW27" i="3" s="1"/>
  <c r="BB27" i="3" s="1"/>
  <c r="I16" i="5" s="1"/>
  <c r="W27" i="3"/>
  <c r="U27" i="3"/>
  <c r="AT27" i="3" s="1"/>
  <c r="T27" i="3"/>
  <c r="AS27" i="3" s="1"/>
  <c r="S27" i="3"/>
  <c r="AR27" i="3" s="1"/>
  <c r="R27" i="3"/>
  <c r="AQ27" i="3" s="1"/>
  <c r="BA27" i="3" s="1"/>
  <c r="H16" i="5" s="1"/>
  <c r="AO26" i="3"/>
  <c r="AP26" i="3" s="1"/>
  <c r="AN26" i="3"/>
  <c r="AM26" i="3"/>
  <c r="AL26" i="3"/>
  <c r="AK26" i="3"/>
  <c r="AI26" i="3"/>
  <c r="AH26" i="3"/>
  <c r="AG26" i="3"/>
  <c r="AF26" i="3"/>
  <c r="AE26" i="3"/>
  <c r="AD26" i="3"/>
  <c r="AJ26" i="3" s="1"/>
  <c r="AC26" i="3"/>
  <c r="AB26" i="3"/>
  <c r="Z26" i="3"/>
  <c r="AY26" i="3" s="1"/>
  <c r="Y26" i="3"/>
  <c r="AX26" i="3" s="1"/>
  <c r="X26" i="3"/>
  <c r="AW26" i="3" s="1"/>
  <c r="W26" i="3"/>
  <c r="AV26" i="3" s="1"/>
  <c r="U26" i="3"/>
  <c r="AT26" i="3" s="1"/>
  <c r="BD26" i="3" s="1"/>
  <c r="K18" i="5" s="1"/>
  <c r="T26" i="3"/>
  <c r="AS26" i="3" s="1"/>
  <c r="S26" i="3"/>
  <c r="AR26" i="3" s="1"/>
  <c r="BB26" i="3" s="1"/>
  <c r="I18" i="5" s="1"/>
  <c r="R26" i="3"/>
  <c r="AQ26" i="3" s="1"/>
  <c r="BA26" i="3" s="1"/>
  <c r="H18" i="5" s="1"/>
  <c r="AZ25" i="3"/>
  <c r="AY25" i="3"/>
  <c r="AS25" i="3"/>
  <c r="AO25" i="3"/>
  <c r="AN25" i="3"/>
  <c r="AM25" i="3"/>
  <c r="AL25" i="3"/>
  <c r="AK25" i="3"/>
  <c r="AI25" i="3"/>
  <c r="AH25" i="3"/>
  <c r="AG25" i="3"/>
  <c r="AF25" i="3"/>
  <c r="AE25" i="3"/>
  <c r="AD25" i="3"/>
  <c r="AC25" i="3"/>
  <c r="AB25" i="3"/>
  <c r="AA25" i="3"/>
  <c r="Z25" i="3"/>
  <c r="Y25" i="3"/>
  <c r="AX25" i="3" s="1"/>
  <c r="X25" i="3"/>
  <c r="AW25" i="3" s="1"/>
  <c r="W25" i="3"/>
  <c r="AV25" i="3" s="1"/>
  <c r="V25" i="3"/>
  <c r="AU25" i="3" s="1"/>
  <c r="BE25" i="3" s="1"/>
  <c r="U25" i="3"/>
  <c r="AT25" i="3" s="1"/>
  <c r="BD25" i="3" s="1"/>
  <c r="T25" i="3"/>
  <c r="S25" i="3"/>
  <c r="AR25" i="3" s="1"/>
  <c r="BB25" i="3" s="1"/>
  <c r="R25" i="3"/>
  <c r="AQ25" i="3" s="1"/>
  <c r="D25" i="3"/>
  <c r="C25" i="3"/>
  <c r="AP15" i="3"/>
  <c r="AK15" i="3"/>
  <c r="AJ15" i="3"/>
  <c r="AA15" i="3"/>
  <c r="AZ15" i="3" s="1"/>
  <c r="AK14" i="3"/>
  <c r="J14" i="3" s="1"/>
  <c r="AI14" i="3"/>
  <c r="AH14" i="3"/>
  <c r="AG14" i="3"/>
  <c r="AF14" i="3"/>
  <c r="AE14" i="3"/>
  <c r="AD14" i="3"/>
  <c r="AJ14" i="3" s="1"/>
  <c r="K14" i="3" s="1"/>
  <c r="AC14" i="3"/>
  <c r="AB14" i="3"/>
  <c r="X14" i="3"/>
  <c r="AW14" i="3" s="1"/>
  <c r="W14" i="3"/>
  <c r="AV14" i="3" s="1"/>
  <c r="S14" i="3"/>
  <c r="AR14" i="3" s="1"/>
  <c r="BB14" i="3" s="1"/>
  <c r="D11" i="5" s="1"/>
  <c r="I10" i="5" s="1"/>
  <c r="R14" i="3"/>
  <c r="AQ14" i="3" s="1"/>
  <c r="BA14" i="3" s="1"/>
  <c r="C11" i="5" s="1"/>
  <c r="H10" i="5" s="1"/>
  <c r="AX13" i="3"/>
  <c r="AS13" i="3"/>
  <c r="BC13" i="3" s="1"/>
  <c r="E15" i="5" s="1"/>
  <c r="AR13" i="3"/>
  <c r="AO13" i="3"/>
  <c r="AN13" i="3"/>
  <c r="AM13" i="3"/>
  <c r="AL13" i="3"/>
  <c r="AK13" i="3"/>
  <c r="AI13" i="3"/>
  <c r="AH13" i="3"/>
  <c r="AG13" i="3"/>
  <c r="AF13" i="3"/>
  <c r="AE13" i="3"/>
  <c r="AD13" i="3"/>
  <c r="AC13" i="3"/>
  <c r="AB13" i="3"/>
  <c r="AA13" i="3"/>
  <c r="Z13" i="3"/>
  <c r="AY13" i="3" s="1"/>
  <c r="Y13" i="3"/>
  <c r="X13" i="3"/>
  <c r="AW13" i="3" s="1"/>
  <c r="W13" i="3"/>
  <c r="AV13" i="3" s="1"/>
  <c r="U13" i="3"/>
  <c r="T13" i="3"/>
  <c r="S13" i="3"/>
  <c r="R13" i="3"/>
  <c r="AQ13" i="3" s="1"/>
  <c r="BA13" i="3" s="1"/>
  <c r="C15" i="5" s="1"/>
  <c r="AY12" i="3"/>
  <c r="AX12" i="3"/>
  <c r="AS12" i="3"/>
  <c r="AR12" i="3"/>
  <c r="BB12" i="3" s="1"/>
  <c r="AO12" i="3"/>
  <c r="AP12" i="3" s="1"/>
  <c r="AN12" i="3"/>
  <c r="AM12" i="3"/>
  <c r="AL12" i="3"/>
  <c r="AK12" i="3"/>
  <c r="AI12" i="3"/>
  <c r="AH12" i="3"/>
  <c r="AJ12" i="3" s="1"/>
  <c r="AG12" i="3"/>
  <c r="AF12" i="3"/>
  <c r="AE12" i="3"/>
  <c r="AD12" i="3"/>
  <c r="AC12" i="3"/>
  <c r="AB12" i="3"/>
  <c r="Z12" i="3"/>
  <c r="AA12" i="3" s="1"/>
  <c r="AZ12" i="3" s="1"/>
  <c r="Y12" i="3"/>
  <c r="X12" i="3"/>
  <c r="AW12" i="3" s="1"/>
  <c r="W12" i="3"/>
  <c r="AV12" i="3" s="1"/>
  <c r="U12" i="3"/>
  <c r="T12" i="3"/>
  <c r="S12" i="3"/>
  <c r="R12" i="3"/>
  <c r="AQ12" i="3" s="1"/>
  <c r="AW11" i="3"/>
  <c r="AQ11" i="3"/>
  <c r="BA11" i="3" s="1"/>
  <c r="AO11" i="3"/>
  <c r="AP11" i="3" s="1"/>
  <c r="AN11" i="3"/>
  <c r="AM11" i="3"/>
  <c r="AK11" i="3"/>
  <c r="AI11" i="3"/>
  <c r="AH11" i="3"/>
  <c r="AG11" i="3"/>
  <c r="AF11" i="3"/>
  <c r="AE11" i="3"/>
  <c r="AD11" i="3"/>
  <c r="AC11" i="3"/>
  <c r="AB11" i="3"/>
  <c r="Z11" i="3"/>
  <c r="Y11" i="3"/>
  <c r="AX11" i="3" s="1"/>
  <c r="BC11" i="3" s="1"/>
  <c r="X11" i="3"/>
  <c r="W11" i="3"/>
  <c r="AV11" i="3" s="1"/>
  <c r="U11" i="3"/>
  <c r="AT11" i="3" s="1"/>
  <c r="T11" i="3"/>
  <c r="AS11" i="3" s="1"/>
  <c r="S11" i="3"/>
  <c r="AR11" i="3" s="1"/>
  <c r="BB11" i="3" s="1"/>
  <c r="R11" i="3"/>
  <c r="AW10" i="3"/>
  <c r="AR10" i="3"/>
  <c r="BB10" i="3" s="1"/>
  <c r="D13" i="5" s="1"/>
  <c r="I12" i="5" s="1"/>
  <c r="AQ10" i="3"/>
  <c r="BA10" i="3" s="1"/>
  <c r="C13" i="5" s="1"/>
  <c r="AO10" i="3"/>
  <c r="AL10" i="3"/>
  <c r="AK10" i="3"/>
  <c r="AI10" i="3"/>
  <c r="AH10" i="3"/>
  <c r="AG10" i="3"/>
  <c r="AF10" i="3"/>
  <c r="AE10" i="3"/>
  <c r="AD10" i="3"/>
  <c r="AC10" i="3"/>
  <c r="AB10" i="3"/>
  <c r="Z10" i="3"/>
  <c r="Y10" i="3"/>
  <c r="AX10" i="3" s="1"/>
  <c r="BC10" i="3" s="1"/>
  <c r="E13" i="5" s="1"/>
  <c r="J12" i="5" s="1"/>
  <c r="X10" i="3"/>
  <c r="W10" i="3"/>
  <c r="AV10" i="3" s="1"/>
  <c r="U10" i="3"/>
  <c r="AT10" i="3" s="1"/>
  <c r="T10" i="3"/>
  <c r="AS10" i="3" s="1"/>
  <c r="S10" i="3"/>
  <c r="R10" i="3"/>
  <c r="AW9" i="3"/>
  <c r="AV9" i="3"/>
  <c r="AQ9" i="3"/>
  <c r="BA9" i="3" s="1"/>
  <c r="C16" i="5" s="1"/>
  <c r="AP9" i="3"/>
  <c r="AO9" i="3"/>
  <c r="AN9" i="3"/>
  <c r="AM9" i="3"/>
  <c r="AK9" i="3"/>
  <c r="AI9" i="3"/>
  <c r="AH9" i="3"/>
  <c r="AG9" i="3"/>
  <c r="AF9" i="3"/>
  <c r="AE9" i="3"/>
  <c r="AD9" i="3"/>
  <c r="AJ9" i="3" s="1"/>
  <c r="AC9" i="3"/>
  <c r="AB9" i="3"/>
  <c r="Z9" i="3"/>
  <c r="AY9" i="3" s="1"/>
  <c r="Y9" i="3"/>
  <c r="AX9" i="3" s="1"/>
  <c r="X9" i="3"/>
  <c r="W9" i="3"/>
  <c r="U9" i="3"/>
  <c r="AT9" i="3" s="1"/>
  <c r="T9" i="3"/>
  <c r="AS9" i="3" s="1"/>
  <c r="BC9" i="3" s="1"/>
  <c r="E16" i="5" s="1"/>
  <c r="S9" i="3"/>
  <c r="AR9" i="3" s="1"/>
  <c r="BB9" i="3" s="1"/>
  <c r="D16" i="5" s="1"/>
  <c r="R9" i="3"/>
  <c r="AV8" i="3"/>
  <c r="AQ8" i="3"/>
  <c r="BA8" i="3" s="1"/>
  <c r="C18" i="5" s="1"/>
  <c r="AP8" i="3"/>
  <c r="AO8" i="3"/>
  <c r="AN8" i="3"/>
  <c r="AM8" i="3"/>
  <c r="AL8" i="3"/>
  <c r="AK8" i="3"/>
  <c r="AI8" i="3"/>
  <c r="AH8" i="3"/>
  <c r="AG8" i="3"/>
  <c r="AF8" i="3"/>
  <c r="AE8" i="3"/>
  <c r="AD8" i="3"/>
  <c r="AJ8" i="3" s="1"/>
  <c r="AC8" i="3"/>
  <c r="AB8" i="3"/>
  <c r="Z8" i="3"/>
  <c r="AY8" i="3" s="1"/>
  <c r="Y8" i="3"/>
  <c r="AX8" i="3" s="1"/>
  <c r="X8" i="3"/>
  <c r="AW8" i="3" s="1"/>
  <c r="BB8" i="3" s="1"/>
  <c r="D18" i="5" s="1"/>
  <c r="W8" i="3"/>
  <c r="U8" i="3"/>
  <c r="AT8" i="3" s="1"/>
  <c r="T8" i="3"/>
  <c r="AS8" i="3" s="1"/>
  <c r="BC8" i="3" s="1"/>
  <c r="E18" i="5" s="1"/>
  <c r="S8" i="3"/>
  <c r="AR8" i="3" s="1"/>
  <c r="R8" i="3"/>
  <c r="BA7" i="3"/>
  <c r="AT7" i="3"/>
  <c r="AO7" i="3"/>
  <c r="AN7" i="3"/>
  <c r="AM7" i="3"/>
  <c r="AL7" i="3"/>
  <c r="AK7" i="3"/>
  <c r="AI7" i="3"/>
  <c r="AH7" i="3"/>
  <c r="AG7" i="3"/>
  <c r="AF7" i="3"/>
  <c r="AE7" i="3"/>
  <c r="AD7" i="3"/>
  <c r="AC7" i="3"/>
  <c r="AB7" i="3"/>
  <c r="Z7" i="3"/>
  <c r="AY7" i="3" s="1"/>
  <c r="Y7" i="3"/>
  <c r="AX7" i="3" s="1"/>
  <c r="X7" i="3"/>
  <c r="AW7" i="3" s="1"/>
  <c r="W7" i="3"/>
  <c r="AV7" i="3" s="1"/>
  <c r="V7" i="3"/>
  <c r="AU7" i="3" s="1"/>
  <c r="U7" i="3"/>
  <c r="T7" i="3"/>
  <c r="AS7" i="3" s="1"/>
  <c r="S7" i="3"/>
  <c r="AR7" i="3" s="1"/>
  <c r="BB7" i="3" s="1"/>
  <c r="R7" i="3"/>
  <c r="AQ7" i="3" s="1"/>
  <c r="D7" i="3"/>
  <c r="C7" i="3"/>
  <c r="AO51" i="3"/>
  <c r="P40" i="4"/>
  <c r="AU59" i="2"/>
  <c r="F40" i="4" s="1"/>
  <c r="AQ59" i="2"/>
  <c r="AN51" i="3" s="1"/>
  <c r="O40" i="4"/>
  <c r="AF59" i="2"/>
  <c r="AB59" i="2"/>
  <c r="N40" i="4"/>
  <c r="Q59" i="2"/>
  <c r="M59" i="2"/>
  <c r="AL51" i="3" s="1"/>
  <c r="M40" i="4"/>
  <c r="B59" i="2"/>
  <c r="R51" i="3" s="1"/>
  <c r="AQ51" i="3" s="1"/>
  <c r="AO32" i="3"/>
  <c r="P23" i="4"/>
  <c r="AU37" i="2"/>
  <c r="U32" i="3" s="1"/>
  <c r="AT32" i="3" s="1"/>
  <c r="AN32" i="3"/>
  <c r="O23" i="4"/>
  <c r="O39" i="4" s="1"/>
  <c r="AF37" i="2"/>
  <c r="AB37" i="2"/>
  <c r="AM32" i="3" s="1"/>
  <c r="N23" i="4"/>
  <c r="N39" i="4" s="1"/>
  <c r="Q37" i="2"/>
  <c r="D23" i="4" s="1"/>
  <c r="M37" i="2"/>
  <c r="AL32" i="3" s="1"/>
  <c r="B37" i="2"/>
  <c r="BF15" i="2"/>
  <c r="AO14" i="3" s="1"/>
  <c r="AP14" i="3" s="1"/>
  <c r="O14" i="3" s="1"/>
  <c r="P6" i="4"/>
  <c r="AU15" i="2"/>
  <c r="F6" i="4" s="1"/>
  <c r="AQ15" i="2"/>
  <c r="AN14" i="3" s="1"/>
  <c r="O6" i="4"/>
  <c r="O22" i="4" s="1"/>
  <c r="AF15" i="2"/>
  <c r="AB15" i="2"/>
  <c r="AM14" i="3" s="1"/>
  <c r="N6" i="4"/>
  <c r="N22" i="4" s="1"/>
  <c r="Q15" i="2"/>
  <c r="AL14" i="3"/>
  <c r="B15" i="2"/>
  <c r="AP32" i="3" l="1"/>
  <c r="AP51" i="3"/>
  <c r="V15" i="3"/>
  <c r="AU15" i="3" s="1"/>
  <c r="BE15" i="3" s="1"/>
  <c r="AY11" i="3"/>
  <c r="BD11" i="3" s="1"/>
  <c r="AA11" i="3"/>
  <c r="C28" i="3"/>
  <c r="AU28" i="3"/>
  <c r="M12" i="5"/>
  <c r="D10" i="6"/>
  <c r="D11" i="6" s="1"/>
  <c r="BA29" i="3"/>
  <c r="AT30" i="3"/>
  <c r="BD30" i="3" s="1"/>
  <c r="V30" i="3"/>
  <c r="V44" i="3"/>
  <c r="AT44" i="3"/>
  <c r="C10" i="6"/>
  <c r="C11" i="6" s="1"/>
  <c r="H12" i="5"/>
  <c r="V12" i="3"/>
  <c r="AT12" i="3"/>
  <c r="BD12" i="3" s="1"/>
  <c r="BC28" i="3"/>
  <c r="J13" i="5" s="1"/>
  <c r="O12" i="5" s="1"/>
  <c r="P39" i="4"/>
  <c r="Q23" i="4"/>
  <c r="Q39" i="4" s="1"/>
  <c r="AJ7" i="3"/>
  <c r="AP7" i="3"/>
  <c r="BD9" i="3"/>
  <c r="F16" i="5" s="1"/>
  <c r="AJ11" i="3"/>
  <c r="BC12" i="3"/>
  <c r="I7" i="5"/>
  <c r="N6" i="5" s="1"/>
  <c r="D39" i="4"/>
  <c r="BA12" i="3"/>
  <c r="F13" i="3"/>
  <c r="AZ13" i="3"/>
  <c r="AJ25" i="3"/>
  <c r="AP25" i="3"/>
  <c r="BC27" i="3"/>
  <c r="J16" i="5" s="1"/>
  <c r="V45" i="3"/>
  <c r="AU45" i="3" s="1"/>
  <c r="AT45" i="3"/>
  <c r="BD45" i="3" s="1"/>
  <c r="P18" i="5" s="1"/>
  <c r="C40" i="4"/>
  <c r="M7" i="5" s="1"/>
  <c r="N6" i="6"/>
  <c r="N4" i="6"/>
  <c r="N2" i="6"/>
  <c r="J7" i="6"/>
  <c r="I7" i="6"/>
  <c r="N3" i="6"/>
  <c r="N5" i="6"/>
  <c r="BC7" i="3"/>
  <c r="BA51" i="3"/>
  <c r="M11" i="5" s="1"/>
  <c r="BD7" i="3"/>
  <c r="BC25" i="3"/>
  <c r="AY31" i="3"/>
  <c r="AA31" i="3"/>
  <c r="P26" i="4"/>
  <c r="Q10" i="4"/>
  <c r="Q26" i="4" s="1"/>
  <c r="C7" i="5"/>
  <c r="H6" i="5" s="1"/>
  <c r="C22" i="4"/>
  <c r="Q40" i="4"/>
  <c r="T32" i="3"/>
  <c r="AS32" i="3" s="1"/>
  <c r="BC32" i="3" s="1"/>
  <c r="J11" i="5" s="1"/>
  <c r="O10" i="5" s="1"/>
  <c r="E23" i="4"/>
  <c r="E40" i="4"/>
  <c r="O7" i="5" s="1"/>
  <c r="T51" i="3"/>
  <c r="AS51" i="3" s="1"/>
  <c r="BC51" i="3" s="1"/>
  <c r="O11" i="5" s="1"/>
  <c r="E6" i="4"/>
  <c r="G6" i="4" s="1"/>
  <c r="T14" i="3"/>
  <c r="AS14" i="3" s="1"/>
  <c r="C23" i="4"/>
  <c r="R32" i="3"/>
  <c r="AQ32" i="3" s="1"/>
  <c r="BA32" i="3" s="1"/>
  <c r="H11" i="5" s="1"/>
  <c r="M10" i="5" s="1"/>
  <c r="BD8" i="3"/>
  <c r="F18" i="5" s="1"/>
  <c r="AY10" i="3"/>
  <c r="BD10" i="3" s="1"/>
  <c r="F13" i="5" s="1"/>
  <c r="K12" i="5" s="1"/>
  <c r="AA10" i="3"/>
  <c r="AZ10" i="3" s="1"/>
  <c r="AT13" i="3"/>
  <c r="BD13" i="3" s="1"/>
  <c r="F15" i="5" s="1"/>
  <c r="V13" i="3"/>
  <c r="AJ13" i="3"/>
  <c r="AP13" i="3"/>
  <c r="BD27" i="3"/>
  <c r="K16" i="5" s="1"/>
  <c r="AJ10" i="3"/>
  <c r="AP10" i="3"/>
  <c r="BB13" i="3"/>
  <c r="D15" i="5" s="1"/>
  <c r="BA25" i="3"/>
  <c r="BC26" i="3"/>
  <c r="J18" i="5" s="1"/>
  <c r="BB28" i="3"/>
  <c r="I13" i="5" s="1"/>
  <c r="N12" i="5" s="1"/>
  <c r="AJ46" i="3"/>
  <c r="AP46" i="3"/>
  <c r="G23" i="4"/>
  <c r="K7" i="5"/>
  <c r="P6" i="5" s="1"/>
  <c r="F39" i="4"/>
  <c r="AY47" i="3"/>
  <c r="BD47" i="3" s="1"/>
  <c r="P13" i="5" s="1"/>
  <c r="AA47" i="3"/>
  <c r="AZ47" i="3" s="1"/>
  <c r="Z51" i="3"/>
  <c r="AA50" i="3"/>
  <c r="G13" i="4"/>
  <c r="D7" i="5"/>
  <c r="I6" i="5" s="1"/>
  <c r="K7" i="6"/>
  <c r="O2" i="6"/>
  <c r="O4" i="6"/>
  <c r="O6" i="6"/>
  <c r="BB49" i="3"/>
  <c r="AY28" i="3"/>
  <c r="BD28" i="3" s="1"/>
  <c r="K13" i="5" s="1"/>
  <c r="P12" i="5" s="1"/>
  <c r="AA28" i="3"/>
  <c r="AZ28" i="3" s="1"/>
  <c r="AT31" i="3"/>
  <c r="V31" i="3"/>
  <c r="AJ47" i="3"/>
  <c r="AP47" i="3"/>
  <c r="BD48" i="3"/>
  <c r="AA49" i="3"/>
  <c r="AZ49" i="3" s="1"/>
  <c r="BA50" i="3"/>
  <c r="M15" i="5" s="1"/>
  <c r="U51" i="3"/>
  <c r="F26" i="4"/>
  <c r="G10" i="4"/>
  <c r="G26" i="4" s="1"/>
  <c r="O5" i="6"/>
  <c r="Y14" i="3"/>
  <c r="AX14" i="3" s="1"/>
  <c r="D40" i="4"/>
  <c r="N7" i="5" s="1"/>
  <c r="S51" i="3"/>
  <c r="AR51" i="3" s="1"/>
  <c r="AA8" i="3"/>
  <c r="AZ8" i="3" s="1"/>
  <c r="AA9" i="3"/>
  <c r="V10" i="3"/>
  <c r="V11" i="3"/>
  <c r="Z14" i="3"/>
  <c r="AP31" i="3"/>
  <c r="S32" i="3"/>
  <c r="AR32" i="3" s="1"/>
  <c r="BB32" i="3" s="1"/>
  <c r="I11" i="5" s="1"/>
  <c r="N10" i="5" s="1"/>
  <c r="AX44" i="3"/>
  <c r="BC44" i="3" s="1"/>
  <c r="S60" i="3"/>
  <c r="U60" i="3" s="1"/>
  <c r="W66" i="3" s="1"/>
  <c r="BA46" i="3"/>
  <c r="M16" i="5" s="1"/>
  <c r="AA46" i="3"/>
  <c r="V47" i="3"/>
  <c r="BC49" i="3"/>
  <c r="AW50" i="3"/>
  <c r="BB50" i="3" s="1"/>
  <c r="N15" i="5" s="1"/>
  <c r="G47" i="4"/>
  <c r="L7" i="6"/>
  <c r="F7" i="5"/>
  <c r="K6" i="5" s="1"/>
  <c r="V8" i="3"/>
  <c r="AU8" i="3" s="1"/>
  <c r="BE8" i="3" s="1"/>
  <c r="G18" i="5" s="1"/>
  <c r="V9" i="3"/>
  <c r="U14" i="3"/>
  <c r="AA26" i="3"/>
  <c r="AZ26" i="3" s="1"/>
  <c r="AA27" i="3"/>
  <c r="Z32" i="3"/>
  <c r="AY29" i="3"/>
  <c r="BD29" i="3" s="1"/>
  <c r="AA29" i="3"/>
  <c r="AY30" i="3"/>
  <c r="BA31" i="3"/>
  <c r="H15" i="5" s="1"/>
  <c r="AY44" i="3"/>
  <c r="S61" i="3"/>
  <c r="U61" i="3" s="1"/>
  <c r="W67" i="3" s="1"/>
  <c r="BB45" i="3"/>
  <c r="N18" i="5" s="1"/>
  <c r="AY48" i="3"/>
  <c r="AA48" i="3"/>
  <c r="AY49" i="3"/>
  <c r="P22" i="4"/>
  <c r="Q6" i="4"/>
  <c r="Q22" i="4" s="1"/>
  <c r="AA7" i="3"/>
  <c r="AZ7" i="3" s="1"/>
  <c r="BE7" i="3" s="1"/>
  <c r="V26" i="3"/>
  <c r="AU26" i="3" s="1"/>
  <c r="BE26" i="3" s="1"/>
  <c r="L18" i="5" s="1"/>
  <c r="V27" i="3"/>
  <c r="AA44" i="3"/>
  <c r="AZ44" i="3" s="1"/>
  <c r="AA45" i="3"/>
  <c r="AZ45" i="3" s="1"/>
  <c r="X51" i="3"/>
  <c r="AW51" i="3" s="1"/>
  <c r="AS48" i="3"/>
  <c r="BC48" i="3" s="1"/>
  <c r="V48" i="3"/>
  <c r="AT50" i="3"/>
  <c r="BD50" i="3" s="1"/>
  <c r="P15" i="5" s="1"/>
  <c r="V50" i="3"/>
  <c r="AJ51" i="3"/>
  <c r="P7" i="5"/>
  <c r="O3" i="6"/>
  <c r="AJ44" i="3"/>
  <c r="AP44" i="3"/>
  <c r="W51" i="3"/>
  <c r="AV51" i="3" s="1"/>
  <c r="AW47" i="3"/>
  <c r="BB47" i="3" s="1"/>
  <c r="N13" i="5" s="1"/>
  <c r="G44" i="4"/>
  <c r="AX47" i="3"/>
  <c r="BC47" i="3" s="1"/>
  <c r="O13" i="5" s="1"/>
  <c r="AT49" i="3"/>
  <c r="BD49" i="3" s="1"/>
  <c r="V49" i="3"/>
  <c r="G29" i="4"/>
  <c r="S58" i="3"/>
  <c r="Q12" i="4"/>
  <c r="P43" i="4"/>
  <c r="Q27" i="4"/>
  <c r="Q43" i="4" s="1"/>
  <c r="G7" i="6"/>
  <c r="G7" i="5" l="1"/>
  <c r="L6" i="5" s="1"/>
  <c r="G22" i="4"/>
  <c r="C50" i="3"/>
  <c r="AU50" i="3"/>
  <c r="V32" i="3"/>
  <c r="AZ27" i="3"/>
  <c r="F27" i="3"/>
  <c r="C47" i="3"/>
  <c r="AU47" i="3"/>
  <c r="BE47" i="3" s="1"/>
  <c r="Q13" i="5" s="1"/>
  <c r="G40" i="4"/>
  <c r="Q7" i="5" s="1"/>
  <c r="F9" i="3"/>
  <c r="AZ9" i="3"/>
  <c r="U58" i="3"/>
  <c r="W64" i="3" s="1"/>
  <c r="S62" i="3"/>
  <c r="U62" i="3" s="1"/>
  <c r="W68" i="3" s="1"/>
  <c r="AA32" i="3"/>
  <c r="AY32" i="3"/>
  <c r="BD32" i="3" s="1"/>
  <c r="K11" i="5" s="1"/>
  <c r="P10" i="5" s="1"/>
  <c r="AU49" i="3"/>
  <c r="BE49" i="3" s="1"/>
  <c r="C49" i="3"/>
  <c r="C27" i="3"/>
  <c r="AU27" i="3"/>
  <c r="F48" i="3"/>
  <c r="AZ48" i="3"/>
  <c r="AZ46" i="3"/>
  <c r="BE46" i="3" s="1"/>
  <c r="Q16" i="5" s="1"/>
  <c r="F46" i="3"/>
  <c r="AY14" i="3"/>
  <c r="AA14" i="3"/>
  <c r="BB51" i="3"/>
  <c r="N11" i="5" s="1"/>
  <c r="AZ50" i="3"/>
  <c r="F50" i="3"/>
  <c r="L7" i="5"/>
  <c r="Q6" i="5" s="1"/>
  <c r="G39" i="4"/>
  <c r="BE45" i="3"/>
  <c r="Q18" i="5" s="1"/>
  <c r="BD44" i="3"/>
  <c r="BC14" i="3"/>
  <c r="E11" i="5" s="1"/>
  <c r="J10" i="5" s="1"/>
  <c r="F11" i="3"/>
  <c r="AZ11" i="3"/>
  <c r="E22" i="4"/>
  <c r="E7" i="5"/>
  <c r="J6" i="5" s="1"/>
  <c r="C48" i="3"/>
  <c r="AU48" i="3"/>
  <c r="BE48" i="3" s="1"/>
  <c r="AT14" i="3"/>
  <c r="BD14" i="3" s="1"/>
  <c r="F11" i="5" s="1"/>
  <c r="K10" i="5" s="1"/>
  <c r="V14" i="3"/>
  <c r="AU11" i="3"/>
  <c r="C11" i="3"/>
  <c r="AT51" i="3"/>
  <c r="V51" i="3"/>
  <c r="C31" i="3"/>
  <c r="AU31" i="3"/>
  <c r="BE31" i="3" s="1"/>
  <c r="L15" i="5" s="1"/>
  <c r="AY51" i="3"/>
  <c r="AA51" i="3"/>
  <c r="AZ51" i="3" s="1"/>
  <c r="E39" i="4"/>
  <c r="J7" i="5"/>
  <c r="O6" i="5" s="1"/>
  <c r="C44" i="3"/>
  <c r="AU44" i="3"/>
  <c r="BE44" i="3" s="1"/>
  <c r="BE28" i="3"/>
  <c r="L13" i="5" s="1"/>
  <c r="Q12" i="5" s="1"/>
  <c r="AU12" i="3"/>
  <c r="BE12" i="3" s="1"/>
  <c r="C12" i="3"/>
  <c r="AZ29" i="3"/>
  <c r="BE29" i="3" s="1"/>
  <c r="F29" i="3"/>
  <c r="AU9" i="3"/>
  <c r="BE9" i="3" s="1"/>
  <c r="G16" i="5" s="1"/>
  <c r="C9" i="3"/>
  <c r="AU10" i="3"/>
  <c r="BE10" i="3" s="1"/>
  <c r="G13" i="5" s="1"/>
  <c r="L12" i="5" s="1"/>
  <c r="C10" i="3"/>
  <c r="BD31" i="3"/>
  <c r="K15" i="5" s="1"/>
  <c r="AU13" i="3"/>
  <c r="BE13" i="3" s="1"/>
  <c r="G15" i="5" s="1"/>
  <c r="C13" i="3"/>
  <c r="C39" i="4"/>
  <c r="H7" i="5"/>
  <c r="M6" i="5" s="1"/>
  <c r="AZ31" i="3"/>
  <c r="F31" i="3"/>
  <c r="C30" i="3"/>
  <c r="AU30" i="3"/>
  <c r="BE30" i="3" s="1"/>
  <c r="C14" i="3" l="1"/>
  <c r="AU14" i="3"/>
  <c r="AU32" i="3"/>
  <c r="C32" i="3"/>
  <c r="AU51" i="3"/>
  <c r="BE51" i="3" s="1"/>
  <c r="Q11" i="5" s="1"/>
  <c r="C51" i="3"/>
  <c r="BE50" i="3"/>
  <c r="Q15" i="5" s="1"/>
  <c r="BD51" i="3"/>
  <c r="P11" i="5" s="1"/>
  <c r="AZ32" i="3"/>
  <c r="F32" i="3"/>
  <c r="AZ14" i="3"/>
  <c r="F14" i="3"/>
  <c r="BE27" i="3"/>
  <c r="L16" i="5" s="1"/>
  <c r="BE11" i="3"/>
  <c r="BE14" i="3" l="1"/>
  <c r="G11" i="5" s="1"/>
  <c r="L10" i="5" s="1"/>
  <c r="BE32" i="3"/>
  <c r="L11" i="5" s="1"/>
  <c r="Q10"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BD54" authorId="0" shapeId="0" xr:uid="{00000000-0006-0000-0100-000001000000}">
      <text>
        <r>
          <rPr>
            <sz val="11"/>
            <color theme="1"/>
            <rFont val="Calibri"/>
            <charset val="134"/>
            <scheme val="minor"/>
          </rPr>
          <t xml:space="preserve">DELL:
Среднее за  год на 4 квартала с  отчета
</t>
        </r>
      </text>
    </comment>
  </commentList>
</comments>
</file>

<file path=xl/sharedStrings.xml><?xml version="1.0" encoding="utf-8"?>
<sst xmlns="http://schemas.openxmlformats.org/spreadsheetml/2006/main" count="1409" uniqueCount="486">
  <si>
    <t>Таблица 1</t>
  </si>
  <si>
    <t>Пункты учёта</t>
  </si>
  <si>
    <t>Вид учёта мощности электроэнергии (активная, реактивная)</t>
  </si>
  <si>
    <t>Место установки измерительных трансформаторов</t>
  </si>
  <si>
    <t>Коэффициент учёта</t>
  </si>
  <si>
    <t>Дата пломбировки</t>
  </si>
  <si>
    <t>Дата пломбировки поставщика</t>
  </si>
  <si>
    <t>Примечание</t>
  </si>
  <si>
    <t>P</t>
  </si>
  <si>
    <t>Q</t>
  </si>
  <si>
    <t>TT</t>
  </si>
  <si>
    <t>КT</t>
  </si>
  <si>
    <t xml:space="preserve"> кВт·ч</t>
  </si>
  <si>
    <t>кВАр·ч</t>
  </si>
  <si>
    <t>Трёхфазый счётчик ЕХ518 124200393818</t>
  </si>
  <si>
    <t>1200/5</t>
  </si>
  <si>
    <t>0.4</t>
  </si>
  <si>
    <t>12.2024</t>
  </si>
  <si>
    <t>ПС «Каракамиш» 35/6 кВ</t>
  </si>
  <si>
    <t>Трёхфазый счётчик ЕХ518 124200507111</t>
  </si>
  <si>
    <t>1200/6</t>
  </si>
  <si>
    <t>Трёхфазый счётчик ЕХ518 124200573458</t>
  </si>
  <si>
    <t>1200/7</t>
  </si>
  <si>
    <t xml:space="preserve">2022 год </t>
  </si>
  <si>
    <t>Структура параметров энергетического баланса</t>
  </si>
  <si>
    <t>Таблица 2</t>
  </si>
  <si>
    <t>2022 год 1 квартал</t>
  </si>
  <si>
    <t>2022 год 2 квартал</t>
  </si>
  <si>
    <t>2022 год 3 квартал</t>
  </si>
  <si>
    <t>2022 год 4 квартал</t>
  </si>
  <si>
    <t>Структура параметров баланса</t>
  </si>
  <si>
    <t>Электроэнергия</t>
  </si>
  <si>
    <t>Тепловая энергия</t>
  </si>
  <si>
    <t>Газ</t>
  </si>
  <si>
    <t>Мазут</t>
  </si>
  <si>
    <t>Уголь</t>
  </si>
  <si>
    <t>Нефтепродукты</t>
  </si>
  <si>
    <t>Вода</t>
  </si>
  <si>
    <t>актив Р</t>
  </si>
  <si>
    <t>реактив Q</t>
  </si>
  <si>
    <t>Д/Т</t>
  </si>
  <si>
    <t>Бензин</t>
  </si>
  <si>
    <t>Керосин</t>
  </si>
  <si>
    <t>Горюче-смазочные материалы</t>
  </si>
  <si>
    <t>Прочие</t>
  </si>
  <si>
    <t>кВт·ч</t>
  </si>
  <si>
    <t>кВар·ч</t>
  </si>
  <si>
    <t>Гкал</t>
  </si>
  <si>
    <t>тыс. м³</t>
  </si>
  <si>
    <t>тонна</t>
  </si>
  <si>
    <t>м³</t>
  </si>
  <si>
    <t>Установленная электрическая мощность</t>
  </si>
  <si>
    <t>транзитным абониментам</t>
  </si>
  <si>
    <t>Общее потребление по предприятию</t>
  </si>
  <si>
    <t>для технологических нужд</t>
  </si>
  <si>
    <t>для собственных нужд</t>
  </si>
  <si>
    <t>для производственных нужд</t>
  </si>
  <si>
    <t>для хозяйственно-бытовых нужд</t>
  </si>
  <si>
    <t xml:space="preserve">В разрезе видов выпускаемой продукции (основной и побочной) </t>
  </si>
  <si>
    <t>1. Продукция (услуга)</t>
  </si>
  <si>
    <t>труба ХВС</t>
  </si>
  <si>
    <t>фитинги ХВС и ГВС</t>
  </si>
  <si>
    <t>канализационные трубы</t>
  </si>
  <si>
    <t>канализационные фитинги</t>
  </si>
  <si>
    <t>тёплый пол</t>
  </si>
  <si>
    <t xml:space="preserve">2023 год </t>
  </si>
  <si>
    <t>2023 год 1 квартал</t>
  </si>
  <si>
    <t>2023 год 2 квартал</t>
  </si>
  <si>
    <t>2023 год 3 квартал</t>
  </si>
  <si>
    <t>2023 год 4 квартал</t>
  </si>
  <si>
    <t xml:space="preserve">2024 год </t>
  </si>
  <si>
    <t>2024 год 1 квартал</t>
  </si>
  <si>
    <t>2024 год 2 квартал</t>
  </si>
  <si>
    <t>2024 год 3 квартал</t>
  </si>
  <si>
    <t>2024 год 4 квартал</t>
  </si>
  <si>
    <t>Энергетический баланс предприятия</t>
  </si>
  <si>
    <t>Таблица 3</t>
  </si>
  <si>
    <t>Электр энергияси</t>
  </si>
  <si>
    <t xml:space="preserve">не удалят </t>
  </si>
  <si>
    <t>2022 год не трогат</t>
  </si>
  <si>
    <t>актив      Р</t>
  </si>
  <si>
    <t>Дизель</t>
  </si>
  <si>
    <t>ГСМ (Горюче-смазочные материалы)</t>
  </si>
  <si>
    <t>Прочее</t>
  </si>
  <si>
    <t>электр</t>
  </si>
  <si>
    <t>газ</t>
  </si>
  <si>
    <t>ГСМ</t>
  </si>
  <si>
    <t xml:space="preserve">Вода </t>
  </si>
  <si>
    <t xml:space="preserve"> электр в т.у.т</t>
  </si>
  <si>
    <t xml:space="preserve"> газ в т.у.т</t>
  </si>
  <si>
    <t xml:space="preserve"> итого в т.у.т</t>
  </si>
  <si>
    <t>Д/т</t>
  </si>
  <si>
    <t>бензин</t>
  </si>
  <si>
    <t>тыс. м</t>
  </si>
  <si>
    <t>год</t>
  </si>
  <si>
    <t>Транзитным абониментам</t>
  </si>
  <si>
    <t>– на технологические нужды</t>
  </si>
  <si>
    <t>– на собственные нужды предприятия</t>
  </si>
  <si>
    <t>– на производственные нужды</t>
  </si>
  <si>
    <t>– на хозяйственно-бытовые нужды</t>
  </si>
  <si>
    <t>2023 год не трогат</t>
  </si>
  <si>
    <t>20224год не трогат</t>
  </si>
  <si>
    <t xml:space="preserve">лимит </t>
  </si>
  <si>
    <t>коифицент</t>
  </si>
  <si>
    <t>т.у.т</t>
  </si>
  <si>
    <t>э-э</t>
  </si>
  <si>
    <t>итого т.у.т</t>
  </si>
  <si>
    <t>Нормативное потребление, %</t>
  </si>
  <si>
    <t xml:space="preserve">1 квартал </t>
  </si>
  <si>
    <t xml:space="preserve">2 квартал </t>
  </si>
  <si>
    <t xml:space="preserve">3 квартал </t>
  </si>
  <si>
    <t xml:space="preserve">4 квартал </t>
  </si>
  <si>
    <t>2022 г.Сравнителные показатели динамика расходов энергии</t>
  </si>
  <si>
    <t>Таблица 5</t>
  </si>
  <si>
    <t>ЭНЕРГОРЕСУРСЫ</t>
  </si>
  <si>
    <t>Электроэнергия, кВт·ч</t>
  </si>
  <si>
    <t>Тепловая энергия, Гкал</t>
  </si>
  <si>
    <t>Природный газ, тыс. м³</t>
  </si>
  <si>
    <t>Квартал</t>
  </si>
  <si>
    <t>I</t>
  </si>
  <si>
    <t>II</t>
  </si>
  <si>
    <t>III</t>
  </si>
  <si>
    <t>IV</t>
  </si>
  <si>
    <t>йил</t>
  </si>
  <si>
    <t>Основной вид продукции (услуги)</t>
  </si>
  <si>
    <t xml:space="preserve"> удельный расход за прошлый год (факт)</t>
  </si>
  <si>
    <t xml:space="preserve"> удельный расход за отчётный год (факт)</t>
  </si>
  <si>
    <t>Дополнительная продукция (услуга)</t>
  </si>
  <si>
    <t>удельный расход за прошлый год (факт)</t>
  </si>
  <si>
    <t>удельный расход за отчётный год (факт)</t>
  </si>
  <si>
    <t>Технологическое потребление</t>
  </si>
  <si>
    <t>Изменение удельного энергопотребления в отчётном году по сравнению с фактическим удельным потреблением прошлого года, % (увеличение или снижение)*</t>
  </si>
  <si>
    <t>Хозяйственно-бытовое потребление   (тыс. кВт·ч / Гкал / тыс. м³)</t>
  </si>
  <si>
    <t>Общее потребление энергоресурсов (тыс. кВт·ч / Гкал / тыс. м³)</t>
  </si>
  <si>
    <t xml:space="preserve">Нормативное потребление, %  э-э (8.6 кВт*ч/м2)                    газ (3.4 м3/м2) </t>
  </si>
  <si>
    <t>2023 г.Сравнителные показатели динамика расходов энергии</t>
  </si>
  <si>
    <t>24.5% увеличение</t>
  </si>
  <si>
    <t>35.9% увеличение</t>
  </si>
  <si>
    <t>12.3% снижение</t>
  </si>
  <si>
    <t>18.4 % снижение</t>
  </si>
  <si>
    <t>5.1 % увеличение</t>
  </si>
  <si>
    <t>6.9 % снижение</t>
  </si>
  <si>
    <t>43.7 % увеличение</t>
  </si>
  <si>
    <t>15.9 % увеличение</t>
  </si>
  <si>
    <t>2024 г.Сравнителные показатели динамика расходов энергии</t>
  </si>
  <si>
    <t>кВт/м2</t>
  </si>
  <si>
    <t>м3/м2</t>
  </si>
  <si>
    <t>15.8 % снижение</t>
  </si>
  <si>
    <t>33.6 % снижение</t>
  </si>
  <si>
    <t>21 % снижение</t>
  </si>
  <si>
    <t>69.2 % снижение</t>
  </si>
  <si>
    <t>33.4 % снижение</t>
  </si>
  <si>
    <t>9.3 % увеличение</t>
  </si>
  <si>
    <t>18.6 % снижение</t>
  </si>
  <si>
    <t>36.6 % снижение</t>
  </si>
  <si>
    <t>23.8 % снижение</t>
  </si>
  <si>
    <t>15.6 % снижение</t>
  </si>
  <si>
    <t>Динамика изменения энергетических показателей по годам</t>
  </si>
  <si>
    <t>Таблица 6</t>
  </si>
  <si>
    <t>Год</t>
  </si>
  <si>
    <t>2022 год</t>
  </si>
  <si>
    <t>2023 год</t>
  </si>
  <si>
    <t>2024 год</t>
  </si>
  <si>
    <t>Установленная электрическая мощность в часы максимума энергосистемы (кВт)</t>
  </si>
  <si>
    <t>Производственный и общий расход (в т.у.т.)</t>
  </si>
  <si>
    <t>Технологическое потребление ( т.у.т)</t>
  </si>
  <si>
    <t>Изменение фактического удельного энергопотребления в отчётном году по сравнению с фактическим удельным расходом прошлого года, % (увеличение или снижение*)</t>
  </si>
  <si>
    <t xml:space="preserve">2 %  увеличение </t>
  </si>
  <si>
    <t xml:space="preserve">41.1 %  увеличение </t>
  </si>
  <si>
    <t xml:space="preserve">4.6 %  увеличение </t>
  </si>
  <si>
    <t xml:space="preserve">6.7 %  снижение </t>
  </si>
  <si>
    <t xml:space="preserve">8.2 %  увеличение </t>
  </si>
  <si>
    <t xml:space="preserve">0.6 %  увеличение </t>
  </si>
  <si>
    <t xml:space="preserve">23.4 %  снижение </t>
  </si>
  <si>
    <t xml:space="preserve">31.3 %  снижение </t>
  </si>
  <si>
    <t xml:space="preserve">37.9 %  снижение </t>
  </si>
  <si>
    <t xml:space="preserve">21.4 %  снижение </t>
  </si>
  <si>
    <t>Хозяйственно-бытовое потребление</t>
  </si>
  <si>
    <t>( т.у.т)</t>
  </si>
  <si>
    <t>Общее потребление энергоресурсов</t>
  </si>
  <si>
    <t>Нормативное потребление, % (0.005/м2)</t>
  </si>
  <si>
    <t>53.8 % снижение</t>
  </si>
  <si>
    <t>38.4 % снижение</t>
  </si>
  <si>
    <t>1 % снижение</t>
  </si>
  <si>
    <t xml:space="preserve">Транзитный передачи </t>
  </si>
  <si>
    <t>№</t>
  </si>
  <si>
    <t>Продукция</t>
  </si>
  <si>
    <t>Норма, т</t>
  </si>
  <si>
    <t>Факт 2022, т</t>
  </si>
  <si>
    <t>Факт 2023, т</t>
  </si>
  <si>
    <t>Факт 2024, т</t>
  </si>
  <si>
    <t>Откл 2022, т</t>
  </si>
  <si>
    <t>Откл 2022, %</t>
  </si>
  <si>
    <t>Откл 2023, т</t>
  </si>
  <si>
    <t>Откл 2023, %</t>
  </si>
  <si>
    <t>Откл 2024, т</t>
  </si>
  <si>
    <t>Откл 2024, %</t>
  </si>
  <si>
    <t>Доля 2022, %</t>
  </si>
  <si>
    <t>Доля 2023, %</t>
  </si>
  <si>
    <t>Доля 2024, %</t>
  </si>
  <si>
    <t>ИТОГО</t>
  </si>
  <si>
    <t>Технологическое потребление, т.у.т</t>
  </si>
  <si>
    <t>Удельный расход на 1 т продукции, т.у.т/т</t>
  </si>
  <si>
    <t>Назви</t>
  </si>
  <si>
    <t>Норма</t>
  </si>
  <si>
    <t>Факт</t>
  </si>
  <si>
    <t>Труба хвс</t>
  </si>
  <si>
    <t>Фит хвс и гвс</t>
  </si>
  <si>
    <t>Канал труба</t>
  </si>
  <si>
    <t>Канал фитинг</t>
  </si>
  <si>
    <t>Топ. пол</t>
  </si>
  <si>
    <t>Название</t>
  </si>
  <si>
    <t>Норма (кВт)</t>
  </si>
  <si>
    <t>Факт (кВт) 2022</t>
  </si>
  <si>
    <t>Факт (кВт) 2023</t>
  </si>
  <si>
    <t>Факт (кВт) 2024</t>
  </si>
  <si>
    <t>Перерасход (%) 2022</t>
  </si>
  <si>
    <t>Перерасход (%) 2023</t>
  </si>
  <si>
    <t>Перерасход (%) 2024</t>
  </si>
  <si>
    <t>Трубы ХВС</t>
  </si>
  <si>
    <t>Фитинги ХВС</t>
  </si>
  <si>
    <t>Канализационные трубы</t>
  </si>
  <si>
    <t>Канализационные фитинги</t>
  </si>
  <si>
    <t>Трубы теплого пола</t>
  </si>
  <si>
    <t xml:space="preserve">Труба хвс </t>
  </si>
  <si>
    <t>Январь</t>
  </si>
  <si>
    <t>Февраль</t>
  </si>
  <si>
    <t>Март</t>
  </si>
  <si>
    <t>Апрель</t>
  </si>
  <si>
    <t>Май</t>
  </si>
  <si>
    <t>Июнь</t>
  </si>
  <si>
    <t>Июль</t>
  </si>
  <si>
    <t>Август</t>
  </si>
  <si>
    <t>Сентябрь</t>
  </si>
  <si>
    <t>Октябрь</t>
  </si>
  <si>
    <t>Ноябрь</t>
  </si>
  <si>
    <t>Декабрь</t>
  </si>
  <si>
    <t>Итого</t>
  </si>
  <si>
    <t>5       457 480</t>
  </si>
  <si>
    <t>1. Продукция (услуга): труба ХВС, фитинги ХВС и ГВС, канализационные трубы и фитинги, тёплый пол</t>
  </si>
  <si>
    <t>59.6 % снижение</t>
  </si>
  <si>
    <t>4.1. Energiya auditi natijasi bo‘yicha hisobot va energetika pasporti O‘zenergoinspeksiyaning hududiy boshqarmalari tomonidan belgilangan tartibda qabul qilinmagunga qadar iste’molchida energiya auditi tamomlangan deb hisoblanmaydi.</t>
  </si>
  <si>
    <t>energetik audit o‘tkazish yakuni bo‘yicha amalga oshirilayotgan iqtisod va uning korxona tomonidan bajarilishi har chorak yakuni bilan O‘zenergoinspeksiyaning hududiy boshqarmalariga yozma ravishda doimiy taqdim etib borilishi.</t>
  </si>
  <si>
    <t>davlat nazorati idoralariga korxonaning energetik pasporti, texnik hisoboti hamda yoqilg‘i energetika resurslarini tejash bo‘yicha tashkiliy-texnik chora-tadbirlar rejasi nusxalari taqdim etilishi;</t>
  </si>
  <si>
    <t>korxonaning energiya xo‘jaligi ob’yektlarida birlamchi energetika tekshiruvi natijasi bo‘yicha texnik hisobot (audit o‘tkazish hisobot davrida);</t>
  </si>
  <si>
    <r>
      <rPr>
        <sz val="11"/>
        <color theme="1"/>
        <rFont val="Calibri"/>
        <family val="2"/>
        <scheme val="minor"/>
      </rPr>
      <t xml:space="preserve">yoqilg‘i energetika resurslari sarfini kamaytirish hamda ishlab chiqarishda energiya </t>
    </r>
    <r>
      <rPr>
        <b/>
        <sz val="11"/>
        <color rgb="FFFF0000"/>
        <rFont val="Calibri"/>
        <family val="2"/>
        <scheme val="minor"/>
      </rPr>
      <t>samaradorlikni oshirish bo‘yicha korxonaning tashkiliy-texnik chora-tadbirlar rejasi</t>
    </r>
    <r>
      <rPr>
        <sz val="11"/>
        <color theme="1"/>
        <rFont val="Calibri"/>
        <family val="2"/>
        <scheme val="minor"/>
      </rPr>
      <t>;</t>
    </r>
  </si>
  <si>
    <t>ishlab chiqarishda energiya samaradorligini oshirish hamda yoqilg‘i va energiya ta’minoti xarajatlarini kamaytirish (shu bilan birga taklif etilgan chora-tadbirlarning joriy etish narxini va ularning qoplanish muddatini iqtisodiy asoslash) bo‘yicha tavsiyalar;</t>
  </si>
  <si>
    <t xml:space="preserve"> ning energetik pasporti;</t>
  </si>
  <si>
    <t>korxonaning instrumental tasdiqlangan yoqilg‘i-energetika balansi (barcha ishlatiladigan energiya turlari bo‘yicha);</t>
  </si>
  <si>
    <t>4. Energoauditor o‘tkazish yakuni bo‘yicha hujjatlar majmuasini tayyorlash:</t>
  </si>
  <si>
    <t>energiya resurslariga  bo‘lgan talab-ehtiyojlarni turlar bo‘yicha aniqlash;</t>
  </si>
  <si>
    <r>
      <rPr>
        <b/>
        <sz val="11"/>
        <color theme="9" tint="-0.249977111117893"/>
        <rFont val="Calibri"/>
        <family val="2"/>
        <scheme val="minor"/>
      </rPr>
      <t>asoslangan va tegishli hisob-kitoblar bilan tasdiqlangan</t>
    </r>
    <r>
      <rPr>
        <sz val="11"/>
        <color theme="1"/>
        <rFont val="Calibri"/>
        <family val="2"/>
        <scheme val="minor"/>
      </rPr>
      <t xml:space="preserve"> tashkiliy va texnik-tadbirlarda energiya tejaydigan yechimlar taklif qilish, bunda prognoz qilingan tejashni fizik va pul ifodasini chiqarish, shu jumladan ikkilamchi energiya manbalari va qayta tiklanadigan energiya manbalarini joriy etish, shuningdek, ularni amalga oshirish qiymatini ko‘rsatish.</t>
    </r>
  </si>
  <si>
    <t>yoqilg‘i-energetika resurslarining mavjud zahiralarini aniqlsh;</t>
  </si>
  <si>
    <r>
      <rPr>
        <sz val="11"/>
        <color theme="1"/>
        <rFont val="Calibri"/>
        <family val="2"/>
        <scheme val="minor"/>
      </rPr>
      <t xml:space="preserve">yoqilg‘i-energetika resurslaridan foydalanishda kamchiliklar mavjud bo‘lsa, </t>
    </r>
    <r>
      <rPr>
        <b/>
        <sz val="11"/>
        <color theme="9" tint="-0.249977111117893"/>
        <rFont val="Calibri"/>
        <family val="2"/>
        <scheme val="minor"/>
      </rPr>
      <t>ularni bartaraf qilishda</t>
    </r>
    <r>
      <rPr>
        <b/>
        <sz val="11"/>
        <color rgb="FFFF0000"/>
        <rFont val="Calibri"/>
        <family val="2"/>
        <scheme val="minor"/>
      </rPr>
      <t xml:space="preserve"> aniq va sodda usullari bilan aniqlash;</t>
    </r>
  </si>
  <si>
    <t>yoqilg‘i-energetika resurslaridan foydalanish samaradorligini baholash;</t>
  </si>
  <si>
    <t>3. Energetika tekshiruvi natijalariga ko‘ra qayd etiladi.</t>
  </si>
  <si>
    <t>shinalarda bir xil havo bosimining saqlanganligi.</t>
  </si>
  <si>
    <t>avtomobilni benzindan gazga aylantirilganligi;</t>
  </si>
  <si>
    <t>Avtomobillar</t>
  </si>
  <si>
    <t>korxonada o‘z ehtiyoji va texnologik jarayonlar uchun sarflanadigan tabiiy gaz hajmi, o‘rnatilgan uskuna va qozonlar, gaz quvurlari tarmoqlarida yo‘qotishlarni aniqlash;</t>
  </si>
  <si>
    <t>tabiiy gaz ko‘rsatkichlarini aniqlash uchun o‘rnatilgan hisoblagich va boshqa barcha turdagi o‘lchash vositalarining texnik va metrologik holatlarni baholash;</t>
  </si>
  <si>
    <t>ichki gaz taqsimlash tarmoqlari holati tahlili;</t>
  </si>
  <si>
    <t>gaz taqsimlash tarmoqlari holati tahlili;</t>
  </si>
  <si>
    <t>Gaz tarmoqlari:</t>
  </si>
  <si>
    <t>transformator va boshqa turdagi texnik moylarning joriy sarfi, ularga belgilangan sarf me’yorlari mavjudligi va sarf me’yorlarini belgilangan tartibda ishlab chiqilganligi holati tahlili;</t>
  </si>
  <si>
    <t>suyultirilgan va siqilgan gaz va neft mahsulotlari sarfini iqtisod qilishga qaratilgan tavsiyalar ishlab chiqish.</t>
  </si>
  <si>
    <t>korxonada neft mahsulotlari haqiqiy iste’molini aniqlash hamda tarqatish varaqalari orqali olingan yoqilg‘i hajmi bilan haqiqatda sarflangan yoqilg‘i hajmi (yo‘l varaqalari yoki boshqa ish hajmi bajarilishi uchun asos bo‘luvchi hujjat) larini solishtirish;</t>
  </si>
  <si>
    <t>korxona tomonidan YoMMning ishlatilishida bugungi kunda amalda bo‘lgan me’yoriy-huquqiy hujjatlarga rioya qilinishi, yoqilg‘i sarf me’yorlari amalda bo‘lgan talablar asosida ishlab chiqarilganligi va ularga rioya qilinishi, hisobotlarning yuritilishi hamda belgilangan sarf me’yorlarining qonuniyligi holati;</t>
  </si>
  <si>
    <t>korxona tomonidan oxirgi 5 yil va joriy yilning o‘tgan hisobot davridagi neft mahsulotlari, tabiiy va suyultirilgan gaz hamda moylash mahsulotlari (keyingi o‘rinda YoMM deb yuritiladi) ning hisobiy va me’yoriy iste’moli kirim-chiqim harakatlari tahlili;</t>
  </si>
  <si>
    <r>
      <rPr>
        <sz val="11"/>
        <color theme="1"/>
        <rFont val="Calibri"/>
        <family val="2"/>
        <scheme val="minor"/>
      </rPr>
      <t xml:space="preserve">Ekspluatatsiya jarayonida neft mahsulotlari (avtobenzin, dizel yonilg‘i, har xil turdagi texnika moylari), suyultirilgan va siqilgan metan gazdan foydalanadigan avtotransport vositalari, texnika-mexanizmlar va boshqa uskunalar texnik holati, </t>
    </r>
    <r>
      <rPr>
        <b/>
        <sz val="11"/>
        <color rgb="FFFF0000"/>
        <rFont val="Calibri"/>
        <family val="2"/>
        <scheme val="minor"/>
      </rPr>
      <t>ishlab chiqarilgan yil</t>
    </r>
    <r>
      <rPr>
        <sz val="11"/>
        <color theme="1"/>
        <rFont val="Calibri"/>
        <family val="2"/>
        <scheme val="minor"/>
      </rPr>
      <t>i, rusumi, ishlatishdagi sarf me’yorlari va boshqa ko‘rsatkichlar belgilangan holdagi ro‘yxati;</t>
    </r>
  </si>
  <si>
    <t>Yoqilg‘i va yoqilg‘i moylash materiallari (YoMM):</t>
  </si>
  <si>
    <t>bino va inshootning suv ta’minoti tizimi to‘g‘risida tahliliy ma’lumotlar.</t>
  </si>
  <si>
    <t>binoning yoritish tizimi to‘g‘risida tahliliy ma’lumotlar;</t>
  </si>
  <si>
    <t>isitish mavsumidagi va bir gradus-kuniga to‘g‘ri keladigan binoni isitishga sarflanadigan maksimal va nisbiy energiya sarfi, shuningdek rivojlangan davlatlar bilan energiya samaradorligi taqqoslangan tahlili;</t>
  </si>
  <si>
    <r>
      <rPr>
        <sz val="11"/>
        <color theme="1"/>
        <rFont val="Calibri"/>
        <family val="2"/>
        <scheme val="minor"/>
      </rPr>
      <t xml:space="preserve">binoning issiqlik himoyasi hamda </t>
    </r>
    <r>
      <rPr>
        <b/>
        <sz val="11"/>
        <color theme="9" tint="-0.249977111117893"/>
        <rFont val="Calibri"/>
        <family val="2"/>
        <scheme val="minor"/>
      </rPr>
      <t>energetik tavsiflari, shu bilan birga alohida to‘siqlar va to‘liq binoning keltirilgan issiqlik uzatish qarshiligi to‘g‘risida tahliliy ma’lumotlar;</t>
    </r>
  </si>
  <si>
    <t>Binolarda mikroklimat ta’minoti tizimlari va ularni rostlash usullari tahlili;</t>
  </si>
  <si>
    <t>Bino va inshootlar:</t>
  </si>
  <si>
    <t>Shlang hamda quvurlarda bosimni barqarorlashtirilganlik holati.</t>
  </si>
  <si>
    <t>Elektr nasos haydovchisini modernizatsiya qilinganligi;</t>
  </si>
  <si>
    <t>Nasos agregatlarining modernizatsiya qilinganligi;</t>
  </si>
  <si>
    <t>Nasos agregatlari:</t>
  </si>
  <si>
    <t>Suv xarajatlari va yo‘qotishlarning holati.</t>
  </si>
  <si>
    <t>Suvni tozalash tizimlarining mavjudligi;</t>
  </si>
  <si>
    <t>Suvni qayta ishlash tizimlarining joriy etilganligi;</t>
  </si>
  <si>
    <t>Eskirgan po‘lat suv quvurlari almashtirilganligi holati;</t>
  </si>
  <si>
    <t>Suv iste‘moli:</t>
  </si>
  <si>
    <t>Regulyatorlar, issiqlik almashtirgich yuzalar va jihozlar ish holatida saqlanganligi.</t>
  </si>
  <si>
    <t>oldi olinganligi;</t>
  </si>
  <si>
    <t>Xonalarda havoning haddan tashqari qizib ketishi va haddan tashqari sovib ketishini</t>
  </si>
  <si>
    <t>Konditsionerlarning faqat kerak bo'lgan hollarda ishlashi ta’minlanganligi;</t>
  </si>
  <si>
    <t>Konditsioner tizimlari:</t>
  </si>
  <si>
    <r>
      <rPr>
        <b/>
        <sz val="11"/>
        <color rgb="FFFF0000"/>
        <rFont val="Calibri"/>
        <family val="2"/>
        <scheme val="minor"/>
      </rPr>
      <t>iste’molchidagi kompressorlarning yuklanganligi, bosimni nazorat qilish tizimi,</t>
    </r>
    <r>
      <rPr>
        <b/>
        <sz val="11"/>
        <color theme="1"/>
        <rFont val="Calibri"/>
        <family val="2"/>
        <scheme val="minor"/>
      </rPr>
      <t xml:space="preserve"> </t>
    </r>
    <r>
      <rPr>
        <b/>
        <sz val="11"/>
        <color rgb="FFFF0000"/>
        <rFont val="Calibri"/>
        <family val="2"/>
        <scheme val="minor"/>
      </rPr>
      <t>havo sarfiga havo quvurlari diametrlarining mosligi, kondensat, sizishning mavjudligi, bosim miqdori.</t>
    </r>
  </si>
  <si>
    <t>elektr yuritmalarning tavsiflari  va tahlili;</t>
  </si>
  <si>
    <t>kompressorlarning ish rejimlarining tadqiqoti;</t>
  </si>
  <si>
    <r>
      <rPr>
        <b/>
        <sz val="11"/>
        <color rgb="FFFF0000"/>
        <rFont val="Calibri"/>
        <family val="2"/>
        <scheme val="minor"/>
      </rPr>
      <t>siqilgan havoning sizish joyi va miqdori</t>
    </r>
    <r>
      <rPr>
        <sz val="11"/>
        <color theme="1"/>
        <rFont val="Calibri"/>
        <family val="2"/>
        <scheme val="minor"/>
      </rPr>
      <t>;</t>
    </r>
  </si>
  <si>
    <t>siqilgan havoning iste’molchilari ro‘yxati;</t>
  </si>
  <si>
    <t>yo‘nalishi va bosimi ko‘rsatilgan holda siqilgan havoning tarqatish sxemasi;</t>
  </si>
  <si>
    <t>ventilyasiya tizimining ish parametrlarini aniqlash, me’yorlangan texnik ko‘rsatkichlar (yuklantirish va ulanishning haqiqiy koeffisiyenti, qurilmaning kun (sutka) davomida ishlagan vaqti) bilan solishtirish;</t>
  </si>
  <si>
    <t>havo quvurlarining tashqi texnik holatini aniqlash;</t>
  </si>
  <si>
    <t>ventilyasiya va kompressor qurilmalari elektr yuritmalarning elektr energiya iste’moli parametrlarini o‘lchash va tahlil qilish;</t>
  </si>
  <si>
    <t>Ventilyasiya va havo ta’minoti:</t>
  </si>
  <si>
    <t>O‘zbekiston Respublikasi Prezidentining 2023 yil 16 fevraldagi PQ 57-son qarori bilan belgilangan vazifalarni bajarilganligi va quyosh fotoelektr stansiyalari, quyoshli issiq suv ta’minoti hamda energiya tejaydigan qurulmalar, yoritish lampalari, harakat va sizuvchi dachiklardan foydalanish holatlari tahlili;</t>
  </si>
  <si>
    <t>Qayta tiklanadigan energiya manbalari:</t>
  </si>
  <si>
    <t>yoqilg‘ini iqtisod qilish zahiralarini aniqlash;</t>
  </si>
  <si>
    <t>qozon qurilmalarning texnik holatini baholash;</t>
  </si>
  <si>
    <t>iste’molchi qurilmalarini tekshirish, yoqilg‘i iste’molini hisobga olish tizimlar tahlili;</t>
  </si>
  <si>
    <t>qozon qurilmalarning ish rejimlari bilan tanishish va tahlil qilish;</t>
  </si>
  <si>
    <t>ichki yonish va bug‘ qozonlarining ish rejimlarini boshqarish tizimlarini tekshirish;</t>
  </si>
  <si>
    <t>texnologiya, isitish va issiq suv ta’minotiga issiqlik miqdorini aniqlash;</t>
  </si>
  <si>
    <t>tarmoq va qurilmalarda issiqlik isroflarini aniqlash;</t>
  </si>
  <si>
    <t>texnologik jarayonlar va isitishda energiya iste’moli ko‘rsatkichlarini aniqlash maqsadida issiqlikdan foydalanishdagi iste’mollarning mavsumiy o‘zgarishi tahlili;</t>
  </si>
  <si>
    <t>Issiqlik ta’minoti:</t>
  </si>
  <si>
    <t>Ko‘cha va hududlarni yoritishda quyosh panellari orqali ishlaydigan zamonaviy ko‘cha yoritgich chiroqlaridan foydalanilganligi.</t>
  </si>
  <si>
    <r>
      <rPr>
        <b/>
        <sz val="11"/>
        <color rgb="FFFF0000"/>
        <rFont val="Calibri"/>
        <family val="2"/>
        <scheme val="minor"/>
      </rPr>
      <t xml:space="preserve">Bir nechta kalitlarni o‘rnatish va yoritish maydonini kerakli zonalarga bo‘lish </t>
    </r>
    <r>
      <rPr>
        <sz val="11"/>
        <color theme="1"/>
        <rFont val="Calibri"/>
        <family val="2"/>
        <scheme val="minor"/>
      </rPr>
      <t>orqali yoritishni markazsizlashtirilganligi;</t>
    </r>
  </si>
  <si>
    <t>Binolarning devorlari yengilroq tonlarda bo‘yalganligi;</t>
  </si>
  <si>
    <t>An’anaviy yoritish tizimlarini LEDlar bilan almashtirilganligi tahlili;</t>
  </si>
  <si>
    <r>
      <rPr>
        <b/>
        <sz val="11"/>
        <color rgb="FFFF0000"/>
        <rFont val="Calibri"/>
        <family val="2"/>
        <scheme val="minor"/>
      </rPr>
      <t>Eski uslubdagi lyuminestsent lampalarni past</t>
    </r>
    <r>
      <rPr>
        <sz val="11"/>
        <color theme="1"/>
        <rFont val="Calibri"/>
        <family val="2"/>
        <scheme val="minor"/>
      </rPr>
      <t xml:space="preserve"> quvvatli yangi avlod lampalar bilan almashtirilganligi tahlili;</t>
    </r>
  </si>
  <si>
    <t>Energiya tejamkor yorug‘lik manbalarini o‘rnatish yo‘li bilan mavjud yoritish tizimlarini rekonstruksiya qilish orqali yoritish maqsadlarida energiya sarfini kamaytirish holati;</t>
  </si>
  <si>
    <t>Yoritish tizimlari:</t>
  </si>
  <si>
    <t>Zahira yoqilg‘isini mavjudligi va undan foydalanish holatlari;</t>
  </si>
  <si>
    <t>yoqilg‘i va issiqlik iste’mol qiladigan uskunalarning ishchi ko‘rsatkichlari, yuklanganlik darajasi tahlillari;</t>
  </si>
  <si>
    <t>ikkilamchi energiya resurslari va utilizatsiya tizimlarining mavjudligi va ulardan foydalanish, samaradorligini baholash.</t>
  </si>
  <si>
    <t>O‘zbekiston Respublikasining elektr qurilmalarni loyihalashtirish, ekspluatatsiya va montaj qilish bilan shug‘ullanuvchi muhandis-texnik xodimlar uchun mo‘ljallangan elektr uskunalarning tuzilish qoidalari, reaktiv quvvat kompensatsiyasi holati, “O‘zdavenergonazorat” inspeksiyasi boshlig‘ining 2008 yil 10 oktyabrdagi 1864-sonli buyrug‘i bilan tasdiqlangan, Reaktiv quvvat kompensatsiyasi bo‘yicha ishlarni tashkil etish tartibi to‘g‘risidagi Nizom talablariga rioya qilinishi.</t>
  </si>
  <si>
    <t>energetik tekshiruv natijalariga ko‘ra har bir ob’yekt uchun haqiqiy solishtirma elektr energiya me’yorini rivojlangan mamlakatlar elektr energiya me’yorlari bilan solishtirib tahlil qilish va ularning o‘zgarish kamchiliklarini aniqlash;</t>
  </si>
  <si>
    <t>eksperimental va statistik olingan ma’lumotlar asosida har bir ob’yekt uchun sarflanadigan elektr energiyasi haqiqiy meьyorini aniqlash, ularni tasdiqlangan va ilg‘or xorijiy mamlakatlarning meьyorlari bilan solishtirish, farqining sabablarini ko‘rsatish;</t>
  </si>
  <si>
    <t>joriy va texnik hisobning holati;</t>
  </si>
  <si>
    <t>Umumiy YoER iste’moli hamda yirik texnologik agregatlari bo‘yicha energiya iste’moli balansini tuzish;</t>
  </si>
  <si>
    <t>energetik qurilmalarini ta’mirlash reja-jadvalining bajarilishi to‘g‘risidagi hisobotlar;</t>
  </si>
  <si>
    <t>energiyaning amaldagi sarfi ustidan nazorat qilish va uning sarfi normalarining bajarilishi;</t>
  </si>
  <si>
    <t>ishlab chiqariladigan mahsulotni hisobga olish usullari hamda ishlab chiqarilgan maxsulot birligiga sarflangan energiya miqdori;</t>
  </si>
  <si>
    <t>qayta tiklanuvchan va muqobil energiya manbalaridan foydalanish holatlari va ularning tahlili;</t>
  </si>
  <si>
    <t>energiyani tejash bo‘yicha tashkiliy-texnik chora-tadbirlar rejalari va ularning bajarilishi holati, energiya iste’molini kamaytirish yuzasidan topshiriqlarning mavjudligi va uning ijrosi bajarilishi tahlili;</t>
  </si>
  <si>
    <t>mahsulot birligi uchun sarflanadigan energiya resurslarini turlari bo‘yicha sarf meʼyorlarini ishlab chiqilganligi hamda korxonaning 5 yillik energosig‘imi dinamikasi o‘zgarish tahlillari;</t>
  </si>
  <si>
    <t>oxirgi 5 yil va joriy yilning o‘tgan davri uchun amaldagi statistika hisobotlari (choraklik, yillik), shuningdek boshqa zarur hisobotlar;</t>
  </si>
  <si>
    <t>shartnoma hujjatlari;</t>
  </si>
  <si>
    <t>energiyani hisobiy va texnik hisobga olish asboblari, shuningdek chetga berish hisobga oladigan hisoblagichlarni jiddiy ravishda joy-joyiga qo‘ygan holda energiya ta’minoti sxemasi;</t>
  </si>
  <si>
    <t>mahsulot ishlab chiqarishning texnologik sxemasi (asosiy va yordamchi ishlab chiqarish, xom ashyo, materiallar, energiya oqimlari);</t>
  </si>
  <si>
    <t>texnologik parametrlari va mavsumiy tavsiflari bir xil bo‘lgan sharoitda solishtirma ko‘rsatkichlarning o‘zgarish dinamikasini taqqoslash yo‘li bilan energiya resurslarini iste’mol qilish samaradorligi;</t>
  </si>
  <si>
    <t>texnologik jarayonda (agregat, sex) bevosita foydalaniladigan energiya manbalari (elektr energiyasi, texnik suv, qisilgan havo, bug‘, texnik gazlar) sarfi to‘g‘risidagi ma’lumotlar bazasi va ishlab chiqarilgan mahsulot hajmi, shuningdek, bir birlikda ishlab chiqariladigan mahsulot hajmi uchun sarflanadigan energiya iste’moli tahlili;</t>
  </si>
  <si>
    <r>
      <rPr>
        <b/>
        <sz val="11"/>
        <color rgb="FFFF0000"/>
        <rFont val="Calibri"/>
        <family val="2"/>
        <scheme val="minor"/>
      </rPr>
      <t>energiya tashuvchilardagi yo‘qotishlar,</t>
    </r>
    <r>
      <rPr>
        <sz val="11"/>
        <color theme="1"/>
        <rFont val="Calibri"/>
        <family val="2"/>
        <scheme val="minor"/>
      </rPr>
      <t xml:space="preserve"> </t>
    </r>
    <r>
      <rPr>
        <sz val="11"/>
        <color rgb="FFFF0000"/>
        <rFont val="Calibri"/>
        <family val="2"/>
        <scheme val="minor"/>
      </rPr>
      <t xml:space="preserve">izolyasiyaning buzilishi, nooqilona loyiha yechimlari, </t>
    </r>
    <r>
      <rPr>
        <b/>
        <sz val="11"/>
        <color rgb="FFFF0000"/>
        <rFont val="Calibri"/>
        <family val="2"/>
        <scheme val="minor"/>
      </rPr>
      <t>noto‘g‘ri foydalanish</t>
    </r>
    <r>
      <rPr>
        <sz val="11"/>
        <color rgb="FFFF0000"/>
        <rFont val="Calibri"/>
        <family val="2"/>
        <scheme val="minor"/>
      </rPr>
      <t>, qurilish va montaj ishlarining sifatsiz bajarilishi hisobiga to‘g‘ridan-to‘g‘ri energiya isroflari</t>
    </r>
    <r>
      <rPr>
        <sz val="11"/>
        <color theme="1"/>
        <rFont val="Calibri"/>
        <family val="2"/>
        <scheme val="minor"/>
      </rPr>
      <t>;</t>
    </r>
  </si>
  <si>
    <t>energiya iste’molining ta’sir ko‘rsatuvchi omilga (masalan, unumdorlikka, tashqi havo haroratiga va hokazolarga) bog‘liqligi hisobidan resurslar va ob’yektlarning alohida turlari bo‘yicha solishtirma energiya iste’moli;</t>
  </si>
  <si>
    <t>har bir ob’yekt uchun energiya iste’moliga ta’sir ko‘rsatadigan omillar (masalan, isitish tizimi uchun tashqi harorat, elektr yuritmalar uchun quvvat koeffisiyenti (cosφ) va hokazolar);</t>
  </si>
  <si>
    <t>energiya iste’moli rejimi (kunlik, oylik, yillik);</t>
  </si>
  <si>
    <t>energiya resurslari va energiya manbalarining alohida turlari bo‘yicha barcha iste’mol qilinadigan energiyaning taqsimlanish xususiyatlari (buning uchun energiya iste’moli bo‘yicha ma’lumotlar o‘lchovning yagona tizimiga keltiriladi);</t>
  </si>
  <si>
    <t>texnologik ishlab chiqarishlarda energiya iste’molining holati (ishlab chiqarish ehtiyojlari uchun amalda iste’mol qilingan YoER, texnologiya ob’yektlari energiya iste’molining normativ tavsiflari);</t>
  </si>
  <si>
    <t>energiya resurslari turlari bo‘yicha xususiy energiya balanslari;</t>
  </si>
  <si>
    <t>Yoqilg‘i energiya resurslari (keyingi o‘rinda YoER deb yuritiladi) iste’molchisining tuzilmasi va bo‘linmalardagi energiya iste’moli tavsifi;</t>
  </si>
  <si>
    <t>kondensatni manbaga qaytarish;</t>
  </si>
  <si>
    <t>sexlarni bug‘ bilan ta’minlash ichki tizimining bug‘-kondensat balansini tuzish;</t>
  </si>
  <si>
    <t>elektr qabul qilgichlarning parametrlarini tekshirish va o‘lchash;</t>
  </si>
  <si>
    <t>elektr iste’moli rejimlari va elektr balansini tuzish;</t>
  </si>
  <si>
    <t>Elektr ta’minoti:</t>
  </si>
  <si>
    <t>2. Energetika tekshiruvi (energoaudit) o‘tkazishda quyidagilar o‘rganiladi:</t>
  </si>
  <si>
    <r>
      <rPr>
        <sz val="11"/>
        <color theme="1"/>
        <rFont val="Calibri"/>
        <family val="2"/>
        <scheme val="minor"/>
      </rPr>
      <t xml:space="preserve">1.2. Yiliga besh yuz va undan ortiq tonna shartli yoqilg‘ini va (yoki) ikki yuz ellik va undan ortiq tonna motor yoqilg‘isini sarflaydigan yoqilg‘i-energetika resurslari iste’molchilari tomonidan belgilangan muddatlarda majburiy energetika tekshiruvlarini o‘tkazmaslik yoki ular tomonidan majburiy energetika tekshiruvlari natijasida belgilangan chora-tadbirlarni bajarmaslik - </t>
    </r>
    <r>
      <rPr>
        <b/>
        <sz val="11"/>
        <color rgb="FFFF0000"/>
        <rFont val="Calibri"/>
        <family val="2"/>
        <scheme val="minor"/>
      </rPr>
      <t>o‘rtacha oylik energiya iste’moli qiymatining uch foizi miqdorida jarima solishga sabab bo‘ladi</t>
    </r>
  </si>
  <si>
    <t>1.1. Energiya auditidan o‘tkazish dasturining amal qilish muddati O‘zenergoinspeksiya tomonidan tasdiqlangan kundan boshlab dastlabki va davriy energiya auditidan o‘tkazishda bir yildan ko‘p bo‘lmagan hamda ekspress energiya auditidan ikki oydan ko‘p bo‘lmagan muddatga teng bo‘ladi.</t>
  </si>
  <si>
    <t xml:space="preserve"> (joylashgan manzili, uning identifikatsiya raqami va IFUD kodi)shaklidagi korxonasining energiya xo‘jaligi ob’yektlarida davriy energetika tekshiruvi (energoaudit) o‘tkazish to‘g‘risidagi shartnoma;</t>
  </si>
  <si>
    <t>O‘zbekiston Respublikasi Vazirlar Mahkamasining 2024 yil 31-maydagi “Elektr energiyasi va tabiiy gazdan foydalanish qoidalarini tasdiqlash to‘g‘risida”gi 319-sonli qarori;</t>
  </si>
  <si>
    <t>O‘zbekistan Respublikasi Prezidentining 2019 yil 22 avgustdagi "Iqtisodiyot tarmoqlari va ijtimoiy sohaning energiya samaradorligini oshirish, energiya tejovchi texnologiyalarni joriy etish va qayta tiklanuvchi energiya manbalarini rivojlantirishning tezkor chora-tadbirlari to‘g‘risida"gi PQ-4422-son qaror;</t>
  </si>
  <si>
    <t>O‘zbekiston Respublikasining 2024 yil 7 avgustda qabul qilingan “Energiya tejash, undan oqilona foydalanish va energiya samaradorligini oshirish to‘g‘risida”gi 940-sonli Qonuni;</t>
  </si>
  <si>
    <t>Vazirlar Mahkamasining 2024 yil 19 oktyabrdagi “Yoqilg‘i-energetika resurslari iste’molchilarini hamda bino va inshootlarni energiya iste’molini energiya auditidan o‘tkazish tartiblarini belgilash to‘g‘risida”gi 690-sonli qarori;</t>
  </si>
  <si>
    <t>1. Dastur quyidagi hujjatlar asosida ishlab chiqilgan:</t>
  </si>
  <si>
    <t>D A S T U R I</t>
  </si>
  <si>
    <t>Хозяйственно-бытовое потребление  (тыс. кВт·ч / Гкал / тыс. м³)</t>
  </si>
  <si>
    <t>Изменение удельного энергопотребления в отчётном году по сравнению с фактическим удельным потреблением прошлого года, % (увеличение или снижение*</t>
  </si>
  <si>
    <t>Нефтепродукты, т (дизель)</t>
  </si>
  <si>
    <t xml:space="preserve"> Уголь, т</t>
  </si>
  <si>
    <t>Нефтепродукты, т (бензин)</t>
  </si>
  <si>
    <t>Мазут, т</t>
  </si>
  <si>
    <t>ЭНЕРГИЯ РЕСУРСЛАРИ</t>
  </si>
  <si>
    <t>Динамика изменения удельных показателей в 2024 году</t>
  </si>
  <si>
    <t>Динамика изменения удельных показателей в 2023 году</t>
  </si>
  <si>
    <t>Динамика изменения удельных показателей в 2022 году</t>
  </si>
  <si>
    <t>Масъул бажарувчи шахс</t>
  </si>
  <si>
    <t>Юридик манзили ва телефон (алоқа)</t>
  </si>
  <si>
    <t>Ташкилот</t>
  </si>
  <si>
    <t>Паспорт тўлдирилди</t>
  </si>
  <si>
    <t>А</t>
  </si>
  <si>
    <t>Энергия самарадорлик синфи</t>
  </si>
  <si>
    <t>удв</t>
  </si>
  <si>
    <t>Бинонинг талаб этиладиган иссиқлик ҳимояга мувофиқлиги</t>
  </si>
  <si>
    <t>Хулоса</t>
  </si>
  <si>
    <r>
      <t>W</t>
    </r>
    <r>
      <rPr>
        <i/>
        <vertAlign val="subscript"/>
        <sz val="12"/>
        <color rgb="FF000000"/>
        <rFont val="Times New Roman"/>
        <family val="1"/>
      </rPr>
      <t>умумий</t>
    </r>
    <r>
      <rPr>
        <b/>
        <vertAlign val="subscript"/>
        <sz val="11"/>
        <color theme="1"/>
        <rFont val="Times New Roman"/>
        <family val="1"/>
      </rPr>
      <t xml:space="preserve"> </t>
    </r>
    <r>
      <rPr>
        <sz val="12"/>
        <color rgb="FF000000"/>
        <rFont val="Times New Roman"/>
        <family val="1"/>
      </rPr>
      <t>MW-соат</t>
    </r>
  </si>
  <si>
    <t>Йил бўйича электр энергиянинг умумий сарфи</t>
  </si>
  <si>
    <t>MW-соат</t>
  </si>
  <si>
    <r>
      <t>W</t>
    </r>
    <r>
      <rPr>
        <i/>
        <vertAlign val="subscript"/>
        <sz val="12"/>
        <color rgb="FF000000"/>
        <rFont val="Times New Roman"/>
        <family val="1"/>
      </rPr>
      <t>к</t>
    </r>
    <r>
      <rPr>
        <i/>
        <sz val="12"/>
        <color rgb="FF000000"/>
        <rFont val="Times New Roman"/>
        <family val="1"/>
      </rPr>
      <t>,</t>
    </r>
  </si>
  <si>
    <t>Йилнинг иссиқ мавсумида сунъий иқлимни ҳосил қилиш учун сарфланадиган электр энергиянинг сарфи</t>
  </si>
  <si>
    <r>
      <t>Q</t>
    </r>
    <r>
      <rPr>
        <i/>
        <vertAlign val="subscript"/>
        <sz val="12"/>
        <color rgb="FF000000"/>
        <rFont val="Times New Roman"/>
        <family val="1"/>
      </rPr>
      <t>к</t>
    </r>
    <r>
      <rPr>
        <i/>
        <sz val="12"/>
        <color rgb="FF000000"/>
        <rFont val="Times New Roman"/>
        <family val="1"/>
      </rPr>
      <t xml:space="preserve">, </t>
    </r>
    <r>
      <rPr>
        <sz val="12"/>
        <color rgb="FF000000"/>
        <rFont val="Times New Roman"/>
        <family val="1"/>
      </rPr>
      <t>MJ(Гкал)</t>
    </r>
  </si>
  <si>
    <t>Йилнинг иссиқ мавсумида сунъий иқлимни ҳосил қилиш учун совуқлик миқдори сарфи</t>
  </si>
  <si>
    <r>
      <t>Q</t>
    </r>
    <r>
      <rPr>
        <i/>
        <vertAlign val="subscript"/>
        <sz val="12"/>
        <color rgb="FF000000"/>
        <rFont val="Times New Roman"/>
        <family val="1"/>
      </rPr>
      <t>h</t>
    </r>
    <r>
      <rPr>
        <sz val="12"/>
        <color rgb="FF000000"/>
        <rFont val="Times New Roman"/>
        <family val="1"/>
      </rPr>
      <t>, MJ(Гкал)</t>
    </r>
  </si>
  <si>
    <t>Иситиш мавсумида бинони иситилиши учун сарфланадиган иссиқлик миқдори сарфи</t>
  </si>
  <si>
    <t>Эксплуатацион кўрсаткичлар</t>
  </si>
  <si>
    <r>
      <t>N</t>
    </r>
    <r>
      <rPr>
        <i/>
        <vertAlign val="subscript"/>
        <sz val="12"/>
        <color rgb="FF000000"/>
        <rFont val="Times New Roman"/>
        <family val="1"/>
      </rPr>
      <t>пот</t>
    </r>
    <r>
      <rPr>
        <i/>
        <sz val="12"/>
        <color rgb="FF000000"/>
        <rFont val="Times New Roman"/>
        <family val="1"/>
      </rPr>
      <t>,</t>
    </r>
    <r>
      <rPr>
        <sz val="12"/>
        <color rgb="FF000000"/>
        <rFont val="Times New Roman"/>
        <family val="1"/>
      </rPr>
      <t xml:space="preserve"> </t>
    </r>
    <r>
      <rPr>
        <sz val="12"/>
        <color rgb="FF000000"/>
        <rFont val="Times New Roman"/>
        <family val="1"/>
      </rPr>
      <t>kW</t>
    </r>
  </si>
  <si>
    <t>Иситиш тизими, вентиляция ва сунъий иқлимни ҳосил қилиш учун электр қабул қилувчиларнинг умумий ҳисоби юкламаси</t>
  </si>
  <si>
    <r>
      <t>N</t>
    </r>
    <r>
      <rPr>
        <i/>
        <vertAlign val="subscript"/>
        <sz val="12"/>
        <color rgb="FF000000"/>
        <rFont val="Times New Roman"/>
        <family val="1"/>
      </rPr>
      <t>у</t>
    </r>
    <r>
      <rPr>
        <sz val="12"/>
        <color rgb="FF000000"/>
        <rFont val="Times New Roman"/>
        <family val="1"/>
      </rPr>
      <t>, kW</t>
    </r>
  </si>
  <si>
    <t>Иситиш тизими, вентиляция ва сунъий иқлимни ҳосил қилиш учун электр қабул қилувчиларнинг белгиланган умумий қуввати</t>
  </si>
  <si>
    <r>
      <t>N</t>
    </r>
    <r>
      <rPr>
        <i/>
        <vertAlign val="subscript"/>
        <sz val="12"/>
        <color rgb="FF000000"/>
        <rFont val="Times New Roman"/>
        <family val="1"/>
      </rPr>
      <t>у.о</t>
    </r>
    <r>
      <rPr>
        <sz val="12"/>
        <color rgb="FF000000"/>
        <rFont val="Times New Roman"/>
        <family val="1"/>
      </rPr>
      <t>, kW</t>
    </r>
  </si>
  <si>
    <t>Сунъий ёритиш электр қабул қилувчиларнинг белгиланган умумий қуввати</t>
  </si>
  <si>
    <r>
      <t>q</t>
    </r>
    <r>
      <rPr>
        <i/>
        <vertAlign val="subscript"/>
        <sz val="12"/>
        <color rgb="FF000000"/>
        <rFont val="Times New Roman"/>
        <family val="1"/>
      </rPr>
      <t>э</t>
    </r>
    <r>
      <rPr>
        <sz val="12"/>
        <color rgb="FF000000"/>
        <rFont val="Times New Roman"/>
        <family val="1"/>
      </rPr>
      <t xml:space="preserve">, </t>
    </r>
    <r>
      <rPr>
        <sz val="12"/>
        <color rgb="FF000000"/>
        <rFont val="Times New Roman"/>
        <family val="1"/>
      </rPr>
      <t>W</t>
    </r>
    <r>
      <rPr>
        <sz val="12"/>
        <color rgb="FF000000"/>
        <rFont val="Times New Roman"/>
        <family val="1"/>
      </rPr>
      <t>/m²</t>
    </r>
  </si>
  <si>
    <t>Бинода ички меъёрий параметрларни сақлаш учун зарур бўлган энергиянинг шартли солиштирма сарфи</t>
  </si>
  <si>
    <r>
      <t>W</t>
    </r>
    <r>
      <rPr>
        <sz val="12"/>
        <color rgb="FF000000"/>
        <rFont val="Times New Roman"/>
        <family val="1"/>
      </rPr>
      <t>/m²</t>
    </r>
  </si>
  <si>
    <r>
      <t>q</t>
    </r>
    <r>
      <rPr>
        <vertAlign val="subscript"/>
        <sz val="12"/>
        <color rgb="FF000000"/>
        <rFont val="Times New Roman"/>
        <family val="1"/>
      </rPr>
      <t>к</t>
    </r>
    <r>
      <rPr>
        <sz val="12"/>
        <color rgb="FF000000"/>
        <rFont val="Times New Roman"/>
        <family val="1"/>
      </rPr>
      <t>,</t>
    </r>
  </si>
  <si>
    <t>Сунъий иқлимни ҳосил қилиш учун совуқликнинг солиштирма сарфи (бино умумий юзасининг 1 m² учун)</t>
  </si>
  <si>
    <r>
      <t>q</t>
    </r>
    <r>
      <rPr>
        <i/>
        <vertAlign val="subscript"/>
        <sz val="12"/>
        <color rgb="FF000000"/>
        <rFont val="Times New Roman"/>
        <family val="1"/>
      </rPr>
      <t>ov</t>
    </r>
    <r>
      <rPr>
        <sz val="12"/>
        <color rgb="FF000000"/>
        <rFont val="Times New Roman"/>
        <family val="1"/>
      </rPr>
      <t xml:space="preserve">, </t>
    </r>
    <r>
      <rPr>
        <sz val="12"/>
        <color rgb="FF000000"/>
        <rFont val="Times New Roman"/>
        <family val="1"/>
      </rPr>
      <t>W</t>
    </r>
    <r>
      <rPr>
        <sz val="12"/>
        <color rgb="FF000000"/>
        <rFont val="Times New Roman"/>
        <family val="1"/>
      </rPr>
      <t>/m²</t>
    </r>
  </si>
  <si>
    <t>Иситиш ва вентиляция учун иссиқликнинг солиштирма сарфи (бино умумий юзасининг 1 m² учун)</t>
  </si>
  <si>
    <r>
      <t>Q</t>
    </r>
    <r>
      <rPr>
        <i/>
        <vertAlign val="subscript"/>
        <sz val="12"/>
        <color rgb="FF000000"/>
        <rFont val="Times New Roman"/>
        <family val="1"/>
      </rPr>
      <t>к</t>
    </r>
    <r>
      <rPr>
        <i/>
        <sz val="12"/>
        <color rgb="FF000000"/>
        <rFont val="Times New Roman"/>
        <family val="1"/>
      </rPr>
      <t>,</t>
    </r>
    <r>
      <rPr>
        <b/>
        <sz val="11"/>
        <color theme="1"/>
        <rFont val="Times New Roman"/>
        <family val="1"/>
      </rPr>
      <t xml:space="preserve"> </t>
    </r>
    <r>
      <rPr>
        <sz val="12"/>
        <color rgb="FF000000"/>
        <rFont val="Times New Roman"/>
        <family val="1"/>
      </rPr>
      <t>W</t>
    </r>
  </si>
  <si>
    <t>Сунъий иқлимни ҳосил қилиш учун совуқлик сарфи</t>
  </si>
  <si>
    <r>
      <t>Q</t>
    </r>
    <r>
      <rPr>
        <i/>
        <vertAlign val="subscript"/>
        <sz val="12"/>
        <color rgb="FF000000"/>
        <rFont val="Times New Roman"/>
        <family val="1"/>
      </rPr>
      <t>ov,</t>
    </r>
    <r>
      <rPr>
        <b/>
        <sz val="11"/>
        <color theme="1"/>
        <rFont val="Times New Roman"/>
        <family val="1"/>
      </rPr>
      <t xml:space="preserve"> </t>
    </r>
    <r>
      <rPr>
        <sz val="12"/>
        <color rgb="FF000000"/>
        <rFont val="Times New Roman"/>
        <family val="1"/>
      </rPr>
      <t>W</t>
    </r>
  </si>
  <si>
    <t>Иситиш ва вентиляция учун иссиқликнинг умумий сарфи</t>
  </si>
  <si>
    <r>
      <t>Q</t>
    </r>
    <r>
      <rPr>
        <i/>
        <vertAlign val="subscript"/>
        <sz val="12"/>
        <color rgb="FF000000"/>
        <rFont val="Times New Roman"/>
        <family val="1"/>
      </rPr>
      <t>о</t>
    </r>
    <r>
      <rPr>
        <i/>
        <sz val="12"/>
        <color rgb="FF000000"/>
        <rFont val="Times New Roman"/>
        <family val="1"/>
      </rPr>
      <t>,</t>
    </r>
    <r>
      <rPr>
        <b/>
        <sz val="11"/>
        <color theme="1"/>
        <rFont val="Times New Roman"/>
        <family val="1"/>
      </rPr>
      <t xml:space="preserve"> </t>
    </r>
    <r>
      <rPr>
        <sz val="12"/>
        <color rgb="FF000000"/>
        <rFont val="Times New Roman"/>
        <family val="1"/>
      </rPr>
      <t>W</t>
    </r>
  </si>
  <si>
    <t>Вентиляция оқимида ҳаво иситгичини иссиқлик билан таъминлашда иссиқлик сарфи</t>
  </si>
  <si>
    <t>Иситиш учун сарфланадиган иссиқликнинг сарфи</t>
  </si>
  <si>
    <t>Энергетик кўрсаткичлар</t>
  </si>
  <si>
    <r>
      <t>n, с</t>
    </r>
    <r>
      <rPr>
        <b/>
        <vertAlign val="superscript"/>
        <sz val="12"/>
        <color rgb="FF000000"/>
        <rFont val="Times New Roman"/>
        <family val="1"/>
      </rPr>
      <t>-1</t>
    </r>
  </si>
  <si>
    <t>Бино шамоллатилишининг карралиги</t>
  </si>
  <si>
    <t>tв, °С</t>
  </si>
  <si>
    <t>Йилнинг иссиқ мавсумида ички ҳавонинг ҳарорати (сунъий иқлимни яратишда)</t>
  </si>
  <si>
    <t>Йилнинг совуқ мавсумида ички ҳавонинг ҳарорати</t>
  </si>
  <si>
    <t>Иссиқликдан ҳимоя қилиш меъёрий даражаси</t>
  </si>
  <si>
    <t>-</t>
  </si>
  <si>
    <t>Ғ (ШҒ)</t>
  </si>
  <si>
    <t>Ж (ЖҒ)</t>
  </si>
  <si>
    <t>Ш (ЖШ)</t>
  </si>
  <si>
    <t>Ш (ШШ)</t>
  </si>
  <si>
    <t>f</t>
  </si>
  <si>
    <t>Қуйидаги томонларга қаратилган фасаднинг ойнавандланган коэффициенти:</t>
  </si>
  <si>
    <r>
      <t>V</t>
    </r>
    <r>
      <rPr>
        <b/>
        <i/>
        <vertAlign val="subscript"/>
        <sz val="12"/>
        <color rgb="FF000000"/>
        <rFont val="Times New Roman"/>
        <family val="1"/>
      </rPr>
      <t>h</t>
    </r>
    <r>
      <rPr>
        <b/>
        <i/>
        <sz val="12"/>
        <color rgb="FF000000"/>
        <rFont val="Times New Roman"/>
        <family val="1"/>
      </rPr>
      <t>, m³</t>
    </r>
  </si>
  <si>
    <t>Иситиладиган ҳажм</t>
  </si>
  <si>
    <r>
      <t>A</t>
    </r>
    <r>
      <rPr>
        <b/>
        <i/>
        <vertAlign val="subscript"/>
        <sz val="12"/>
        <color rgb="FF000000"/>
        <rFont val="Times New Roman"/>
        <family val="1"/>
      </rPr>
      <t>h</t>
    </r>
    <r>
      <rPr>
        <b/>
        <i/>
        <sz val="12"/>
        <color rgb="FF000000"/>
        <rFont val="Times New Roman"/>
        <family val="1"/>
      </rPr>
      <t>, m²</t>
    </r>
  </si>
  <si>
    <t>Иситиладиган юза</t>
  </si>
  <si>
    <t>A, m²</t>
  </si>
  <si>
    <t>Бинонинг умумий юзаси</t>
  </si>
  <si>
    <t>(лойиҳавий)</t>
  </si>
  <si>
    <t>ҳақиқий</t>
  </si>
  <si>
    <t>Ҳисобий</t>
  </si>
  <si>
    <t>меъёрий</t>
  </si>
  <si>
    <t>Кўрсаткичларнинг қиймати</t>
  </si>
  <si>
    <t>Ишораси ва ўлчов бирлиги</t>
  </si>
  <si>
    <t>Кўрсаткич</t>
  </si>
  <si>
    <t>Умумий кўрсаткичлар</t>
  </si>
  <si>
    <t>Типи (конструктив тизими, бино қаватларининг сони)</t>
  </si>
  <si>
    <t>Бинода жойланиши</t>
  </si>
  <si>
    <t>Вазифаси</t>
  </si>
  <si>
    <t>Бинонинг функционал вазифаси ва типи</t>
  </si>
  <si>
    <t>(охирги реконструкция йили)</t>
  </si>
  <si>
    <t>Қурилиш йили</t>
  </si>
  <si>
    <t>Лойиҳа ишлаб чиқувчиси</t>
  </si>
  <si>
    <t>Бинонинг адреси</t>
  </si>
  <si>
    <t>Бинонинг номи</t>
  </si>
  <si>
    <t>Тўлдириш санаси (сана, ой, йил)</t>
  </si>
  <si>
    <t>Умумий маълумотлар</t>
  </si>
  <si>
    <t>ШНҚ 1.03.03-23 «Қурилиш объектларини лойиҳалаштириш» шаҳарсозлик нормалари ва қоидаларига
4-ИЛОВА
Бино (иншоот) энергетик паспортининг
НАМУНАВИЙ ШАКЛИ</t>
  </si>
  <si>
    <t>1 год</t>
  </si>
  <si>
    <t>8,6 тыс.м³</t>
  </si>
  <si>
    <t>10.3</t>
  </si>
  <si>
    <t>Солнечные вакуумные коллекторы</t>
  </si>
  <si>
    <t>Система ГВС</t>
  </si>
  <si>
    <t>2,0 тыс.м³</t>
  </si>
  <si>
    <t>2.4</t>
  </si>
  <si>
    <t>Модернизация ГРП с регуляторами MADAS</t>
  </si>
  <si>
    <t>Система газоснабжения</t>
  </si>
  <si>
    <t>Природный газ</t>
  </si>
  <si>
    <t>45 тыс.кВт·ч</t>
  </si>
  <si>
    <t>76.5</t>
  </si>
  <si>
    <t>Фотоэлектрическая станция 30 кВт</t>
  </si>
  <si>
    <t>Электроустановки</t>
  </si>
  <si>
    <t xml:space="preserve"> 40 тыс.кВт·ч/год</t>
  </si>
  <si>
    <t xml:space="preserve"> Установка столбовой ячейки коммерческого учёта </t>
  </si>
  <si>
    <t xml:space="preserve"> Система электроснабжения</t>
  </si>
  <si>
    <t xml:space="preserve"> 4,25 тыс.кВт·ч/год</t>
  </si>
  <si>
    <t>Установка устройств плавного пуска (Soft Starter)</t>
  </si>
  <si>
    <t xml:space="preserve">Компрессорная станция </t>
  </si>
  <si>
    <t>120 тыс.кВт·ч</t>
  </si>
  <si>
    <t>40.8</t>
  </si>
  <si>
    <t>Система технологического учёта электроэнергии</t>
  </si>
  <si>
    <t>Производственные цеха</t>
  </si>
  <si>
    <t>(штрафы, выплаты</t>
  </si>
  <si>
    <t>37 млн сум/год</t>
  </si>
  <si>
    <t>Контур заземления электрооборудования</t>
  </si>
  <si>
    <t xml:space="preserve"> 1 244 тыс.кВт·ч/год</t>
  </si>
  <si>
    <t>Установка частотных преобразователей</t>
  </si>
  <si>
    <t xml:space="preserve">Производственные цеха   </t>
  </si>
  <si>
    <t>Срок реализации</t>
  </si>
  <si>
    <t>Экономия по видам</t>
  </si>
  <si>
    <t>Экономия (т.ут.)</t>
  </si>
  <si>
    <t>Наименование мероприятия</t>
  </si>
  <si>
    <t>Наименование объекта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</si>
</sst>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_ "/>
    <numFmt numFmtId="165" formatCode="0_ "/>
    <numFmt numFmtId="166" formatCode="0.0"/>
    <numFmt numFmtId="167" formatCode="0.000"/>
    <numFmt numFmtId="168" formatCode="#,##0.000"/>
  </numFmts>
  <fonts count="50">
    <font>
      <sz val="11"/>
      <color theme="1"/>
      <name val="Calibri"/>
      <charset val="134"/>
      <scheme val="minor"/>
    </font>
    <font>
      <sz val="11"/>
      <color theme="1"/>
      <name val="Calibri"/>
      <family val="2"/>
      <charset val="204"/>
      <scheme val="minor"/>
    </font>
    <font>
      <sz val="11"/>
      <color theme="1"/>
      <name val="Calibri"/>
      <family val="2"/>
      <charset val="204"/>
      <scheme val="minor"/>
    </font>
    <font>
      <b/>
      <sz val="12"/>
      <color theme="1"/>
      <name val="Times New Roman"/>
      <family val="1"/>
    </font>
    <font>
      <sz val="12"/>
      <color theme="1"/>
      <name val="Times New Roman"/>
      <family val="1"/>
    </font>
    <font>
      <sz val="11"/>
      <color theme="1"/>
      <name val="Calibri"/>
      <family val="2"/>
      <scheme val="minor"/>
    </font>
    <font>
      <b/>
      <sz val="14"/>
      <name val="Montserrat-Bold"/>
      <charset val="204"/>
    </font>
    <font>
      <sz val="12"/>
      <color rgb="FFFF0000"/>
      <name val="Times New Roman"/>
      <family val="1"/>
    </font>
    <font>
      <i/>
      <sz val="12"/>
      <color theme="1"/>
      <name val="Times New Roman"/>
      <family val="1"/>
    </font>
    <font>
      <sz val="11"/>
      <color rgb="FF000000"/>
      <name val="Calibri"/>
      <family val="2"/>
      <scheme val="minor"/>
    </font>
    <font>
      <b/>
      <sz val="14"/>
      <color rgb="FF000080"/>
      <name val="Montserrat-Bold"/>
      <charset val="134"/>
    </font>
    <font>
      <b/>
      <sz val="11"/>
      <color theme="1"/>
      <name val="Calibri"/>
      <family val="2"/>
      <scheme val="minor"/>
    </font>
    <font>
      <b/>
      <sz val="16"/>
      <color theme="1"/>
      <name val="Calibri"/>
      <family val="2"/>
      <scheme val="minor"/>
    </font>
    <font>
      <sz val="11"/>
      <color theme="1"/>
      <name val="Calibri"/>
      <family val="2"/>
      <scheme val="minor"/>
    </font>
    <font>
      <b/>
      <sz val="16"/>
      <color rgb="FFFF0000"/>
      <name val="Calibri"/>
      <family val="2"/>
      <scheme val="minor"/>
    </font>
    <font>
      <sz val="11"/>
      <color rgb="FFFF0000"/>
      <name val="Calibri"/>
      <family val="2"/>
      <scheme val="minor"/>
    </font>
    <font>
      <sz val="12"/>
      <color theme="1"/>
      <name val="Times New Roman"/>
      <family val="1"/>
    </font>
    <font>
      <b/>
      <sz val="72"/>
      <color theme="1"/>
      <name val="Calibri"/>
      <family val="2"/>
      <scheme val="minor"/>
    </font>
    <font>
      <b/>
      <sz val="14"/>
      <color rgb="FF000080"/>
      <name val="Calibri"/>
      <family val="2"/>
      <scheme val="minor"/>
    </font>
    <font>
      <sz val="12"/>
      <color theme="1"/>
      <name val="Calibri"/>
      <family val="2"/>
      <scheme val="minor"/>
    </font>
    <font>
      <b/>
      <sz val="12"/>
      <color theme="1"/>
      <name val="Calibri"/>
      <family val="2"/>
      <scheme val="minor"/>
    </font>
    <font>
      <i/>
      <sz val="11"/>
      <color theme="1"/>
      <name val="Calibri"/>
      <family val="2"/>
      <scheme val="minor"/>
    </font>
    <font>
      <i/>
      <sz val="12"/>
      <color theme="1"/>
      <name val="Calibri"/>
      <family val="2"/>
      <scheme val="minor"/>
    </font>
    <font>
      <sz val="8"/>
      <color rgb="FFF9FAFB"/>
      <name val="Cascadia Mono"/>
      <family val="3"/>
      <charset val="204"/>
    </font>
    <font>
      <sz val="8"/>
      <name val="Cascadia Mono"/>
      <family val="3"/>
      <charset val="204"/>
    </font>
    <font>
      <sz val="12"/>
      <color theme="1"/>
      <name val="Times New Roman"/>
      <family val="1"/>
      <charset val="204"/>
    </font>
    <font>
      <sz val="12"/>
      <color theme="1"/>
      <name val="Calibri"/>
      <family val="2"/>
      <charset val="204"/>
      <scheme val="minor"/>
    </font>
    <font>
      <sz val="11"/>
      <color theme="1"/>
      <name val="Calibri"/>
      <family val="2"/>
      <scheme val="minor"/>
    </font>
    <font>
      <sz val="12"/>
      <name val="Times New Roman"/>
      <family val="1"/>
    </font>
    <font>
      <sz val="10"/>
      <name val="Times New Roman"/>
      <family val="1"/>
    </font>
    <font>
      <b/>
      <sz val="11"/>
      <color rgb="FFFF0000"/>
      <name val="Calibri"/>
      <family val="2"/>
      <scheme val="minor"/>
    </font>
    <font>
      <b/>
      <sz val="11"/>
      <color theme="9" tint="-0.249977111117893"/>
      <name val="Calibri"/>
      <family val="2"/>
      <scheme val="minor"/>
    </font>
    <font>
      <sz val="11"/>
      <color theme="9" tint="-0.249977111117893"/>
      <name val="Calibri"/>
      <family val="2"/>
      <scheme val="minor"/>
    </font>
    <font>
      <sz val="14"/>
      <color rgb="FF212529"/>
      <name val="Montserrat"/>
    </font>
    <font>
      <sz val="12"/>
      <color rgb="FF212529"/>
      <name val="Times New Roman"/>
      <family val="1"/>
    </font>
    <font>
      <b/>
      <sz val="12"/>
      <color rgb="FF212529"/>
      <name val="Times New Roman"/>
      <family val="1"/>
    </font>
    <font>
      <sz val="10"/>
      <color theme="1"/>
      <name val="Times New Roman"/>
      <family val="1"/>
    </font>
    <font>
      <sz val="12"/>
      <color rgb="FF000000"/>
      <name val="Times New Roman"/>
      <family val="1"/>
    </font>
    <font>
      <b/>
      <sz val="12"/>
      <color rgb="FF000000"/>
      <name val="Times New Roman"/>
      <family val="1"/>
    </font>
    <font>
      <i/>
      <sz val="12"/>
      <color rgb="FF000000"/>
      <name val="Times New Roman"/>
      <family val="1"/>
    </font>
    <font>
      <i/>
      <vertAlign val="subscript"/>
      <sz val="12"/>
      <color rgb="FF000000"/>
      <name val="Times New Roman"/>
      <family val="1"/>
    </font>
    <font>
      <b/>
      <vertAlign val="subscript"/>
      <sz val="11"/>
      <color theme="1"/>
      <name val="Times New Roman"/>
      <family val="1"/>
    </font>
    <font>
      <vertAlign val="subscript"/>
      <sz val="12"/>
      <color rgb="FF000000"/>
      <name val="Times New Roman"/>
      <family val="1"/>
    </font>
    <font>
      <b/>
      <sz val="11"/>
      <color theme="1"/>
      <name val="Times New Roman"/>
      <family val="1"/>
    </font>
    <font>
      <b/>
      <vertAlign val="superscript"/>
      <sz val="12"/>
      <color rgb="FF000000"/>
      <name val="Times New Roman"/>
      <family val="1"/>
    </font>
    <font>
      <b/>
      <i/>
      <sz val="12"/>
      <color rgb="FF000000"/>
      <name val="Times New Roman"/>
      <family val="1"/>
    </font>
    <font>
      <b/>
      <i/>
      <vertAlign val="subscript"/>
      <sz val="12"/>
      <color rgb="FF000000"/>
      <name val="Times New Roman"/>
      <family val="1"/>
    </font>
    <font>
      <sz val="11"/>
      <color rgb="FF000080"/>
      <name val="Times New Roman"/>
      <family val="1"/>
    </font>
    <font>
      <sz val="11"/>
      <name val="Calibri"/>
      <family val="2"/>
      <scheme val="minor"/>
    </font>
    <font>
      <b/>
      <sz val="11"/>
      <name val="Calibri"/>
      <family val="2"/>
      <scheme val="minor"/>
    </font>
  </fonts>
  <fills count="9">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9" tint="0.79998168889431442"/>
        <bgColor indexed="64"/>
      </patternFill>
    </fill>
    <fill>
      <patternFill patternType="solid">
        <fgColor theme="6"/>
        <bgColor indexed="64"/>
      </patternFill>
    </fill>
    <fill>
      <patternFill patternType="solid">
        <fgColor theme="6" tint="0.39994506668294322"/>
        <bgColor indexed="64"/>
      </patternFill>
    </fill>
    <fill>
      <patternFill patternType="solid">
        <fgColor theme="9" tint="0.59999389629810485"/>
        <bgColor indexed="64"/>
      </patternFill>
    </fill>
    <fill>
      <patternFill patternType="solid">
        <fgColor theme="6" tint="0.59999389629810485"/>
        <bgColor indexed="64"/>
      </patternFill>
    </fill>
  </fills>
  <borders count="41">
    <border>
      <left/>
      <right/>
      <top/>
      <bottom/>
      <diagonal/>
    </border>
    <border>
      <left/>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right/>
      <top style="medium">
        <color auto="1"/>
      </top>
      <bottom style="medium">
        <color auto="1"/>
      </bottom>
      <diagonal/>
    </border>
    <border>
      <left/>
      <right style="medium">
        <color auto="1"/>
      </right>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rgb="FF000000"/>
      </right>
      <top style="medium">
        <color auto="1"/>
      </top>
      <bottom style="medium">
        <color auto="1"/>
      </bottom>
      <diagonal/>
    </border>
    <border>
      <left style="medium">
        <color auto="1"/>
      </left>
      <right style="medium">
        <color auto="1"/>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style="medium">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rgb="FF000000"/>
      </right>
      <top style="medium">
        <color auto="1"/>
      </top>
      <bottom style="medium">
        <color auto="1"/>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bottom/>
      <diagonal/>
    </border>
    <border>
      <left style="medium">
        <color rgb="FF000000"/>
      </left>
      <right/>
      <top/>
      <bottom style="medium">
        <color rgb="FF000000"/>
      </bottom>
      <diagonal/>
    </border>
    <border>
      <left style="medium">
        <color rgb="FF000000"/>
      </left>
      <right/>
      <top/>
      <bottom/>
      <diagonal/>
    </border>
    <border>
      <left style="medium">
        <color rgb="FF000000"/>
      </left>
      <right style="medium">
        <color rgb="FF000000"/>
      </right>
      <top style="medium">
        <color rgb="FF000000"/>
      </top>
      <bottom style="medium">
        <color rgb="FF000000"/>
      </bottom>
      <diagonal/>
    </border>
    <border>
      <left style="thin">
        <color auto="1"/>
      </left>
      <right/>
      <top style="thin">
        <color auto="1"/>
      </top>
      <bottom style="thin">
        <color auto="1"/>
      </bottom>
      <diagonal/>
    </border>
  </borders>
  <cellStyleXfs count="3">
    <xf numFmtId="0" fontId="0" fillId="0" borderId="0"/>
    <xf numFmtId="9" fontId="27" fillId="0" borderId="0">
      <alignment vertical="center"/>
    </xf>
    <xf numFmtId="0" fontId="5" fillId="0" borderId="0"/>
  </cellStyleXfs>
  <cellXfs count="288">
    <xf numFmtId="0" fontId="0" fillId="0" borderId="0" xfId="0"/>
    <xf numFmtId="0" fontId="4" fillId="2" borderId="5" xfId="0" applyFont="1" applyFill="1" applyBorder="1" applyAlignment="1">
      <alignment horizontal="center" vertical="center" wrapText="1"/>
    </xf>
    <xf numFmtId="164" fontId="4" fillId="2" borderId="5" xfId="0" applyNumberFormat="1" applyFont="1" applyFill="1" applyBorder="1" applyAlignment="1">
      <alignment horizontal="center" vertical="center" wrapText="1"/>
    </xf>
    <xf numFmtId="0" fontId="7" fillId="2" borderId="5" xfId="0" applyFont="1" applyFill="1" applyBorder="1" applyAlignment="1">
      <alignment horizontal="center" vertical="center" wrapText="1"/>
    </xf>
    <xf numFmtId="164" fontId="7" fillId="2" borderId="5" xfId="0" applyNumberFormat="1" applyFont="1" applyFill="1" applyBorder="1" applyAlignment="1">
      <alignment horizontal="center" vertical="center" wrapText="1"/>
    </xf>
    <xf numFmtId="10" fontId="7" fillId="2" borderId="5" xfId="0" applyNumberFormat="1" applyFont="1" applyFill="1" applyBorder="1" applyAlignment="1">
      <alignment horizontal="center" vertical="center" wrapText="1"/>
    </xf>
    <xf numFmtId="0" fontId="9" fillId="0" borderId="6" xfId="0" applyFont="1" applyBorder="1" applyAlignment="1">
      <alignment horizontal="center"/>
    </xf>
    <xf numFmtId="0" fontId="9" fillId="0" borderId="5" xfId="0" applyFont="1" applyBorder="1" applyAlignment="1">
      <alignment horizontal="center"/>
    </xf>
    <xf numFmtId="0" fontId="4" fillId="2" borderId="0" xfId="0" applyFont="1" applyFill="1" applyAlignment="1">
      <alignment horizontal="center" vertical="center"/>
    </xf>
    <xf numFmtId="1" fontId="4" fillId="2" borderId="7" xfId="0" applyNumberFormat="1" applyFont="1" applyFill="1" applyBorder="1" applyAlignment="1">
      <alignment horizontal="center" vertical="center"/>
    </xf>
    <xf numFmtId="165" fontId="4" fillId="2" borderId="7" xfId="0" applyNumberFormat="1" applyFont="1" applyFill="1" applyBorder="1" applyAlignment="1">
      <alignment horizontal="center" vertical="center" wrapText="1"/>
    </xf>
    <xf numFmtId="164" fontId="4" fillId="2" borderId="7" xfId="0" applyNumberFormat="1" applyFont="1" applyFill="1" applyBorder="1" applyAlignment="1">
      <alignment horizontal="center" vertical="center" wrapText="1"/>
    </xf>
    <xf numFmtId="166" fontId="4" fillId="2" borderId="7" xfId="0" applyNumberFormat="1" applyFont="1" applyFill="1" applyBorder="1" applyAlignment="1">
      <alignment horizontal="center" vertical="center"/>
    </xf>
    <xf numFmtId="0" fontId="7" fillId="2" borderId="7" xfId="0" applyFont="1" applyFill="1" applyBorder="1" applyAlignment="1">
      <alignment horizontal="center" vertical="center" wrapText="1"/>
    </xf>
    <xf numFmtId="1" fontId="7" fillId="2" borderId="7" xfId="0" applyNumberFormat="1" applyFont="1" applyFill="1" applyBorder="1" applyAlignment="1">
      <alignment horizontal="center" vertical="center" wrapText="1"/>
    </xf>
    <xf numFmtId="0" fontId="7" fillId="2" borderId="7" xfId="0" applyFont="1" applyFill="1" applyBorder="1" applyAlignment="1">
      <alignment horizontal="center" vertical="center"/>
    </xf>
    <xf numFmtId="165" fontId="7" fillId="2" borderId="7" xfId="0" applyNumberFormat="1" applyFont="1" applyFill="1" applyBorder="1" applyAlignment="1">
      <alignment horizontal="center" vertical="center" wrapText="1"/>
    </xf>
    <xf numFmtId="164" fontId="7" fillId="2" borderId="7" xfId="0" applyNumberFormat="1" applyFont="1" applyFill="1" applyBorder="1" applyAlignment="1">
      <alignment horizontal="center" vertical="center" wrapText="1"/>
    </xf>
    <xf numFmtId="164" fontId="4" fillId="2" borderId="7" xfId="0" applyNumberFormat="1" applyFont="1" applyFill="1" applyBorder="1" applyAlignment="1">
      <alignment horizontal="center" vertical="center"/>
    </xf>
    <xf numFmtId="0" fontId="4" fillId="2" borderId="7"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5" xfId="0" applyFont="1" applyFill="1" applyBorder="1" applyAlignment="1">
      <alignment horizontal="center" vertical="center"/>
    </xf>
    <xf numFmtId="0" fontId="4" fillId="3" borderId="5" xfId="0" applyFont="1" applyFill="1" applyBorder="1" applyAlignment="1">
      <alignment horizontal="center" vertical="center" wrapText="1"/>
    </xf>
    <xf numFmtId="165" fontId="4" fillId="4" borderId="7" xfId="0" applyNumberFormat="1" applyFont="1" applyFill="1" applyBorder="1" applyAlignment="1">
      <alignment horizontal="center" vertical="center" wrapText="1"/>
    </xf>
    <xf numFmtId="0" fontId="13" fillId="0" borderId="14" xfId="0" applyFont="1" applyBorder="1" applyAlignment="1">
      <alignment horizontal="center" vertical="center"/>
    </xf>
    <xf numFmtId="0" fontId="13" fillId="0" borderId="15" xfId="0" applyFont="1" applyBorder="1" applyAlignment="1">
      <alignment horizontal="center" vertical="center"/>
    </xf>
    <xf numFmtId="0" fontId="13" fillId="3" borderId="16" xfId="0" applyFont="1" applyFill="1" applyBorder="1" applyAlignment="1">
      <alignment horizontal="center" vertical="center"/>
    </xf>
    <xf numFmtId="0" fontId="13" fillId="3" borderId="7" xfId="0" applyFont="1" applyFill="1" applyBorder="1" applyAlignment="1">
      <alignment horizontal="center" vertical="center"/>
    </xf>
    <xf numFmtId="0" fontId="13" fillId="3" borderId="17" xfId="0" applyFont="1" applyFill="1" applyBorder="1" applyAlignment="1">
      <alignment horizontal="center" vertical="center"/>
    </xf>
    <xf numFmtId="0" fontId="13" fillId="3" borderId="18" xfId="0" applyFont="1" applyFill="1" applyBorder="1" applyAlignment="1">
      <alignment horizontal="center" vertical="center"/>
    </xf>
    <xf numFmtId="0" fontId="13" fillId="5" borderId="16" xfId="0" applyFont="1" applyFill="1" applyBorder="1" applyAlignment="1">
      <alignment horizontal="center" vertical="center"/>
    </xf>
    <xf numFmtId="0" fontId="13" fillId="5" borderId="7" xfId="0" applyFont="1" applyFill="1" applyBorder="1" applyAlignment="1">
      <alignment horizontal="center" vertical="center"/>
    </xf>
    <xf numFmtId="0" fontId="14" fillId="4" borderId="7" xfId="0" applyFont="1" applyFill="1" applyBorder="1" applyAlignment="1">
      <alignment horizontal="center" vertical="center"/>
    </xf>
    <xf numFmtId="0" fontId="15" fillId="4" borderId="7" xfId="0" applyFont="1" applyFill="1" applyBorder="1" applyAlignment="1">
      <alignment horizontal="center" vertical="center"/>
    </xf>
    <xf numFmtId="0" fontId="13" fillId="0" borderId="19" xfId="0" applyFont="1" applyBorder="1" applyAlignment="1">
      <alignment horizontal="center" vertical="center"/>
    </xf>
    <xf numFmtId="0" fontId="13" fillId="0" borderId="20" xfId="0" applyFont="1" applyBorder="1" applyAlignment="1">
      <alignment horizontal="center" vertical="center"/>
    </xf>
    <xf numFmtId="0" fontId="13" fillId="0" borderId="21" xfId="0" applyFont="1" applyBorder="1" applyAlignment="1">
      <alignment horizontal="center" vertical="center"/>
    </xf>
    <xf numFmtId="0" fontId="13" fillId="5" borderId="20" xfId="0" applyFont="1" applyFill="1" applyBorder="1" applyAlignment="1">
      <alignment horizontal="center" vertical="center"/>
    </xf>
    <xf numFmtId="0" fontId="13" fillId="4" borderId="16" xfId="0" applyFont="1" applyFill="1" applyBorder="1" applyAlignment="1">
      <alignment horizontal="center" vertical="center"/>
    </xf>
    <xf numFmtId="0" fontId="13" fillId="4" borderId="20" xfId="0" applyFont="1" applyFill="1" applyBorder="1" applyAlignment="1">
      <alignment horizontal="center" vertical="center"/>
    </xf>
    <xf numFmtId="164" fontId="0" fillId="4" borderId="7" xfId="0" applyNumberFormat="1" applyFill="1" applyBorder="1" applyAlignment="1">
      <alignment horizontal="center" vertical="center"/>
    </xf>
    <xf numFmtId="0" fontId="13" fillId="0" borderId="0" xfId="0" applyFont="1"/>
    <xf numFmtId="0" fontId="0" fillId="5" borderId="7" xfId="0" applyFill="1" applyBorder="1"/>
    <xf numFmtId="0" fontId="12" fillId="5" borderId="7" xfId="0" applyFont="1" applyFill="1" applyBorder="1" applyAlignment="1">
      <alignment horizontal="center" vertical="center"/>
    </xf>
    <xf numFmtId="164" fontId="0" fillId="5" borderId="7" xfId="0" applyNumberFormat="1" applyFill="1" applyBorder="1" applyAlignment="1">
      <alignment horizontal="center" vertical="center"/>
    </xf>
    <xf numFmtId="0" fontId="14" fillId="5" borderId="7" xfId="0" applyFont="1" applyFill="1" applyBorder="1" applyAlignment="1">
      <alignment horizontal="center" vertical="center"/>
    </xf>
    <xf numFmtId="0" fontId="15" fillId="5" borderId="7" xfId="0" applyFont="1" applyFill="1" applyBorder="1" applyAlignment="1">
      <alignment horizontal="center" vertical="center"/>
    </xf>
    <xf numFmtId="164" fontId="15" fillId="5" borderId="7" xfId="0" applyNumberFormat="1" applyFont="1" applyFill="1" applyBorder="1" applyAlignment="1">
      <alignment horizontal="center" vertical="center"/>
    </xf>
    <xf numFmtId="0" fontId="13" fillId="5" borderId="17" xfId="0" applyFont="1" applyFill="1" applyBorder="1" applyAlignment="1">
      <alignment horizontal="center" vertical="center"/>
    </xf>
    <xf numFmtId="0" fontId="13" fillId="5" borderId="18" xfId="0" applyFont="1" applyFill="1" applyBorder="1" applyAlignment="1">
      <alignment horizontal="center" vertical="center"/>
    </xf>
    <xf numFmtId="0" fontId="13" fillId="0" borderId="7" xfId="0" applyFont="1" applyBorder="1"/>
    <xf numFmtId="0" fontId="13" fillId="0" borderId="7" xfId="0" applyFont="1" applyBorder="1" applyAlignment="1">
      <alignment horizontal="center" vertical="center"/>
    </xf>
    <xf numFmtId="0" fontId="13" fillId="5" borderId="21" xfId="0" applyFont="1" applyFill="1" applyBorder="1" applyAlignment="1">
      <alignment horizontal="center" vertical="center"/>
    </xf>
    <xf numFmtId="0" fontId="13" fillId="4" borderId="17" xfId="0" applyFont="1" applyFill="1" applyBorder="1" applyAlignment="1">
      <alignment horizontal="center" vertical="center"/>
    </xf>
    <xf numFmtId="0" fontId="13" fillId="4" borderId="21" xfId="0" applyFont="1" applyFill="1" applyBorder="1" applyAlignment="1">
      <alignment horizontal="center" vertical="center"/>
    </xf>
    <xf numFmtId="0" fontId="11" fillId="0" borderId="0" xfId="0" applyFont="1" applyAlignment="1">
      <alignment horizontal="center" vertical="center" wrapText="1"/>
    </xf>
    <xf numFmtId="0" fontId="0" fillId="0" borderId="0" xfId="0" applyAlignment="1">
      <alignment vertical="center" wrapText="1"/>
    </xf>
    <xf numFmtId="0" fontId="8" fillId="2" borderId="0" xfId="0" applyFont="1" applyFill="1" applyAlignment="1">
      <alignment horizontal="right" vertical="center" wrapText="1"/>
    </xf>
    <xf numFmtId="0" fontId="0" fillId="0" borderId="7" xfId="0" applyBorder="1" applyAlignment="1">
      <alignment horizontal="center" vertical="center"/>
    </xf>
    <xf numFmtId="0" fontId="23" fillId="0" borderId="0" xfId="0" applyFont="1" applyAlignment="1">
      <alignment horizontal="left" vertical="center" indent="1"/>
    </xf>
    <xf numFmtId="167" fontId="7" fillId="2" borderId="7" xfId="0" applyNumberFormat="1" applyFont="1" applyFill="1" applyBorder="1" applyAlignment="1">
      <alignment horizontal="center" vertical="center" wrapText="1"/>
    </xf>
    <xf numFmtId="9" fontId="24" fillId="0" borderId="0" xfId="1" applyFont="1" applyAlignment="1">
      <alignment horizontal="left" vertical="center" indent="1"/>
    </xf>
    <xf numFmtId="0" fontId="25" fillId="2" borderId="7" xfId="0" applyFont="1" applyFill="1" applyBorder="1" applyAlignment="1">
      <alignment vertical="center" wrapText="1"/>
    </xf>
    <xf numFmtId="0" fontId="4" fillId="2" borderId="22" xfId="0" applyFont="1" applyFill="1" applyBorder="1" applyAlignment="1">
      <alignment horizontal="center" vertical="center" wrapText="1"/>
    </xf>
    <xf numFmtId="49" fontId="25" fillId="0" borderId="7" xfId="0" applyNumberFormat="1" applyFont="1" applyBorder="1" applyAlignment="1">
      <alignment horizontal="center" vertical="center"/>
    </xf>
    <xf numFmtId="0" fontId="4" fillId="2" borderId="3"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0" fillId="0" borderId="0" xfId="0" applyAlignment="1">
      <alignment wrapText="1"/>
    </xf>
    <xf numFmtId="0" fontId="28" fillId="0" borderId="27" xfId="0" applyFont="1" applyBorder="1" applyAlignment="1">
      <alignment horizontal="center" vertical="center"/>
    </xf>
    <xf numFmtId="0" fontId="28" fillId="0" borderId="6" xfId="0" applyFont="1" applyBorder="1" applyAlignment="1">
      <alignment horizontal="center" vertical="center"/>
    </xf>
    <xf numFmtId="0" fontId="28" fillId="0" borderId="3" xfId="0" applyFont="1" applyBorder="1" applyAlignment="1">
      <alignment horizontal="center" vertical="center"/>
    </xf>
    <xf numFmtId="3" fontId="28" fillId="0" borderId="5" xfId="0" applyNumberFormat="1" applyFont="1" applyBorder="1" applyAlignment="1">
      <alignment horizontal="center" vertical="center"/>
    </xf>
    <xf numFmtId="0" fontId="28" fillId="0" borderId="5" xfId="0" applyFont="1" applyBorder="1" applyAlignment="1">
      <alignment horizontal="center" vertical="center"/>
    </xf>
    <xf numFmtId="3" fontId="28" fillId="0" borderId="5" xfId="0" applyNumberFormat="1" applyFont="1" applyBorder="1" applyAlignment="1">
      <alignment horizontal="right" vertical="center"/>
    </xf>
    <xf numFmtId="0" fontId="29" fillId="0" borderId="27" xfId="0" applyFont="1" applyBorder="1" applyAlignment="1">
      <alignment vertical="center" wrapText="1"/>
    </xf>
    <xf numFmtId="0" fontId="29" fillId="0" borderId="6" xfId="0" applyFont="1" applyBorder="1" applyAlignment="1">
      <alignment vertical="center" wrapText="1"/>
    </xf>
    <xf numFmtId="0" fontId="29" fillId="0" borderId="3" xfId="0" applyFont="1" applyBorder="1" applyAlignment="1">
      <alignment vertical="center" wrapText="1"/>
    </xf>
    <xf numFmtId="0" fontId="29" fillId="0" borderId="5" xfId="0" applyFont="1" applyBorder="1" applyAlignment="1">
      <alignment vertical="center" wrapText="1"/>
    </xf>
    <xf numFmtId="0" fontId="0" fillId="0" borderId="7" xfId="0" applyBorder="1"/>
    <xf numFmtId="0" fontId="4" fillId="2" borderId="7" xfId="0" applyFont="1" applyFill="1" applyBorder="1" applyAlignment="1">
      <alignment horizontal="center" vertical="center" wrapText="1"/>
    </xf>
    <xf numFmtId="0" fontId="0" fillId="0" borderId="0" xfId="0"/>
    <xf numFmtId="0" fontId="0" fillId="5" borderId="7" xfId="0" applyFill="1" applyBorder="1" applyAlignment="1">
      <alignment horizontal="center" vertical="center"/>
    </xf>
    <xf numFmtId="0" fontId="12" fillId="4" borderId="7" xfId="0" applyFont="1" applyFill="1" applyBorder="1" applyAlignment="1">
      <alignment horizontal="center" vertical="center"/>
    </xf>
    <xf numFmtId="0" fontId="0" fillId="4" borderId="7" xfId="0" applyFill="1" applyBorder="1" applyAlignment="1">
      <alignment horizontal="center" vertical="center"/>
    </xf>
    <xf numFmtId="0" fontId="4" fillId="2" borderId="1" xfId="0" applyFont="1" applyFill="1" applyBorder="1" applyAlignment="1">
      <alignment horizontal="center" vertical="center" wrapText="1"/>
    </xf>
    <xf numFmtId="0" fontId="3" fillId="2" borderId="7" xfId="0" applyFont="1" applyFill="1" applyBorder="1" applyAlignment="1">
      <alignment horizontal="center" vertical="center"/>
    </xf>
    <xf numFmtId="0" fontId="4" fillId="2" borderId="0" xfId="0" applyFont="1" applyFill="1" applyAlignment="1">
      <alignment horizontal="center" vertical="center" wrapText="1"/>
    </xf>
    <xf numFmtId="0" fontId="11" fillId="0" borderId="7" xfId="0" applyFont="1" applyBorder="1" applyAlignment="1">
      <alignment horizontal="center" vertical="center" wrapText="1"/>
    </xf>
    <xf numFmtId="0" fontId="0" fillId="0" borderId="25" xfId="0" applyBorder="1"/>
    <xf numFmtId="0" fontId="0" fillId="0" borderId="26" xfId="0" applyBorder="1"/>
    <xf numFmtId="0" fontId="4" fillId="2" borderId="7" xfId="0" applyFont="1" applyFill="1" applyBorder="1" applyAlignment="1">
      <alignment horizontal="center" vertical="center" wrapText="1"/>
    </xf>
    <xf numFmtId="0" fontId="0" fillId="0" borderId="22" xfId="0" applyBorder="1"/>
    <xf numFmtId="0" fontId="0" fillId="0" borderId="0" xfId="0"/>
    <xf numFmtId="0" fontId="0" fillId="0" borderId="1" xfId="0" applyBorder="1"/>
    <xf numFmtId="0" fontId="0" fillId="0" borderId="23" xfId="0" applyBorder="1"/>
    <xf numFmtId="0" fontId="0" fillId="0" borderId="8" xfId="0" applyBorder="1"/>
    <xf numFmtId="0" fontId="4" fillId="2" borderId="28" xfId="0" applyFont="1" applyFill="1" applyBorder="1" applyAlignment="1">
      <alignment horizontal="center" vertical="center" wrapText="1"/>
    </xf>
    <xf numFmtId="0" fontId="0" fillId="0" borderId="12" xfId="0" applyBorder="1"/>
    <xf numFmtId="0" fontId="4" fillId="2" borderId="1" xfId="0" applyFont="1" applyFill="1" applyBorder="1" applyAlignment="1">
      <alignment horizontal="center" vertical="center" wrapText="1"/>
    </xf>
    <xf numFmtId="0" fontId="4" fillId="2" borderId="27" xfId="0" applyFont="1" applyFill="1" applyBorder="1" applyAlignment="1">
      <alignment horizontal="center" vertical="center" wrapText="1"/>
    </xf>
    <xf numFmtId="0" fontId="0" fillId="0" borderId="3" xfId="0" applyBorder="1"/>
    <xf numFmtId="0" fontId="0" fillId="0" borderId="6" xfId="0" applyBorder="1"/>
    <xf numFmtId="0" fontId="11" fillId="0" borderId="27" xfId="0" applyFont="1" applyBorder="1" applyAlignment="1">
      <alignment horizontal="center" vertical="center" wrapText="1"/>
    </xf>
    <xf numFmtId="0" fontId="0" fillId="0" borderId="4" xfId="0" applyBorder="1"/>
    <xf numFmtId="0" fontId="0" fillId="4" borderId="7" xfId="0" applyFill="1" applyBorder="1" applyAlignment="1">
      <alignment horizontal="center" vertical="center"/>
    </xf>
    <xf numFmtId="0" fontId="12" fillId="4" borderId="7" xfId="0" applyFont="1" applyFill="1" applyBorder="1" applyAlignment="1">
      <alignment horizontal="center" vertical="center"/>
    </xf>
    <xf numFmtId="0" fontId="0" fillId="0" borderId="13" xfId="0" applyBorder="1"/>
    <xf numFmtId="0" fontId="0" fillId="0" borderId="9" xfId="0" applyBorder="1"/>
    <xf numFmtId="0" fontId="0" fillId="0" borderId="10" xfId="0" applyBorder="1"/>
    <xf numFmtId="0" fontId="0" fillId="0" borderId="11" xfId="0" applyBorder="1"/>
    <xf numFmtId="0" fontId="0" fillId="0" borderId="5" xfId="0" applyBorder="1"/>
    <xf numFmtId="0" fontId="3" fillId="2" borderId="27" xfId="0" applyFont="1" applyFill="1" applyBorder="1" applyAlignment="1">
      <alignment horizontal="center" vertical="center" wrapText="1"/>
    </xf>
    <xf numFmtId="0" fontId="14" fillId="4" borderId="22" xfId="0" applyFont="1" applyFill="1" applyBorder="1" applyAlignment="1">
      <alignment horizontal="center" vertical="center"/>
    </xf>
    <xf numFmtId="0" fontId="4" fillId="3" borderId="27" xfId="0" applyFont="1" applyFill="1" applyBorder="1" applyAlignment="1">
      <alignment horizontal="center" vertical="center" wrapText="1"/>
    </xf>
    <xf numFmtId="0" fontId="0" fillId="0" borderId="27" xfId="0" applyBorder="1" applyAlignment="1">
      <alignment horizontal="center" vertical="center" wrapText="1"/>
    </xf>
    <xf numFmtId="0" fontId="8" fillId="2" borderId="1" xfId="0" applyFont="1" applyFill="1" applyBorder="1" applyAlignment="1">
      <alignment horizontal="right" vertical="center"/>
    </xf>
    <xf numFmtId="0" fontId="0" fillId="5" borderId="7" xfId="0" applyFill="1" applyBorder="1" applyAlignment="1">
      <alignment horizontal="center"/>
    </xf>
    <xf numFmtId="0" fontId="10" fillId="0" borderId="0" xfId="0" applyFont="1" applyAlignment="1">
      <alignment horizontal="center" vertical="center" wrapText="1"/>
    </xf>
    <xf numFmtId="0" fontId="0" fillId="5" borderId="7" xfId="0" applyFill="1" applyBorder="1" applyAlignment="1">
      <alignment horizontal="center" vertical="center"/>
    </xf>
    <xf numFmtId="0" fontId="16" fillId="2" borderId="7"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7" xfId="0" applyFont="1" applyFill="1" applyBorder="1" applyAlignment="1">
      <alignment horizontal="center" vertical="center"/>
    </xf>
    <xf numFmtId="0" fontId="6" fillId="0" borderId="7" xfId="0" applyFont="1" applyBorder="1" applyAlignment="1">
      <alignment horizontal="center" vertical="center" wrapText="1"/>
    </xf>
    <xf numFmtId="0" fontId="8" fillId="2" borderId="7" xfId="0" applyFont="1" applyFill="1" applyBorder="1" applyAlignment="1">
      <alignment horizontal="right" vertical="center"/>
    </xf>
    <xf numFmtId="0" fontId="6" fillId="0" borderId="0" xfId="0" applyFont="1" applyAlignment="1">
      <alignment horizontal="center" vertical="center" wrapText="1"/>
    </xf>
    <xf numFmtId="0" fontId="8" fillId="2" borderId="0" xfId="0" applyFont="1" applyFill="1" applyAlignment="1">
      <alignment horizontal="right" vertical="center"/>
    </xf>
    <xf numFmtId="0" fontId="4" fillId="2" borderId="0" xfId="0" applyFont="1" applyFill="1" applyAlignment="1">
      <alignment horizontal="center" vertical="center" wrapText="1"/>
    </xf>
    <xf numFmtId="0" fontId="8" fillId="2" borderId="1" xfId="0" applyFont="1" applyFill="1" applyBorder="1" applyAlignment="1">
      <alignment horizontal="right" vertical="center" wrapText="1"/>
    </xf>
    <xf numFmtId="0" fontId="17" fillId="0" borderId="0" xfId="0" applyFont="1" applyFill="1" applyAlignment="1">
      <alignment horizontal="center"/>
    </xf>
    <xf numFmtId="0" fontId="0" fillId="0" borderId="0" xfId="0" applyFill="1"/>
    <xf numFmtId="0" fontId="0" fillId="0" borderId="0" xfId="0" applyFill="1"/>
    <xf numFmtId="0" fontId="18" fillId="0" borderId="0" xfId="0" applyFont="1" applyFill="1" applyAlignment="1">
      <alignment horizontal="center" vertical="center" wrapText="1"/>
    </xf>
    <xf numFmtId="0" fontId="19" fillId="0" borderId="1" xfId="0" applyFont="1" applyFill="1" applyBorder="1" applyAlignment="1">
      <alignment horizontal="center" vertical="center" wrapText="1"/>
    </xf>
    <xf numFmtId="0" fontId="19" fillId="0" borderId="1" xfId="0" applyFont="1" applyFill="1" applyBorder="1" applyAlignment="1">
      <alignment horizontal="center" vertical="center" wrapText="1"/>
    </xf>
    <xf numFmtId="0" fontId="0" fillId="0" borderId="1" xfId="0" applyFill="1" applyBorder="1"/>
    <xf numFmtId="0" fontId="22" fillId="0" borderId="1" xfId="0" applyFont="1" applyFill="1" applyBorder="1" applyAlignment="1">
      <alignment horizontal="right" vertical="center" wrapText="1"/>
    </xf>
    <xf numFmtId="0" fontId="19" fillId="0" borderId="0" xfId="0" applyFont="1" applyFill="1" applyAlignment="1">
      <alignment horizontal="center" vertical="center" wrapText="1"/>
    </xf>
    <xf numFmtId="0" fontId="19" fillId="0" borderId="0" xfId="0" applyFont="1" applyFill="1" applyAlignment="1">
      <alignment horizontal="center" vertical="center" wrapText="1"/>
    </xf>
    <xf numFmtId="0" fontId="22" fillId="0" borderId="0" xfId="0" applyFont="1" applyFill="1" applyAlignment="1">
      <alignment horizontal="right" vertical="center" wrapText="1"/>
    </xf>
    <xf numFmtId="0" fontId="19" fillId="0" borderId="2" xfId="0" applyFont="1" applyFill="1" applyBorder="1" applyAlignment="1">
      <alignment horizontal="center" vertical="center" wrapText="1"/>
    </xf>
    <xf numFmtId="0" fontId="0" fillId="0" borderId="24" xfId="0" applyFill="1" applyBorder="1"/>
    <xf numFmtId="0" fontId="0" fillId="0" borderId="8" xfId="0" applyFill="1" applyBorder="1"/>
    <xf numFmtId="0" fontId="19" fillId="0" borderId="7" xfId="0" applyFont="1" applyFill="1" applyBorder="1" applyAlignment="1">
      <alignment horizontal="center" vertical="center" wrapText="1"/>
    </xf>
    <xf numFmtId="0" fontId="0" fillId="0" borderId="23" xfId="0" applyFill="1" applyBorder="1"/>
    <xf numFmtId="0" fontId="0" fillId="0" borderId="22" xfId="0" applyFill="1" applyBorder="1"/>
    <xf numFmtId="0" fontId="2" fillId="0" borderId="0" xfId="0" applyFont="1" applyFill="1"/>
    <xf numFmtId="0" fontId="20" fillId="0" borderId="7" xfId="0" applyFont="1" applyFill="1" applyBorder="1" applyAlignment="1">
      <alignment horizontal="center" vertical="center" wrapText="1"/>
    </xf>
    <xf numFmtId="0" fontId="11" fillId="0" borderId="7" xfId="0" applyFont="1" applyFill="1" applyBorder="1" applyAlignment="1">
      <alignment horizontal="center" vertical="center" wrapText="1"/>
    </xf>
    <xf numFmtId="0" fontId="20" fillId="0" borderId="7" xfId="0" applyFont="1" applyFill="1" applyBorder="1" applyAlignment="1">
      <alignment horizontal="center" vertical="center"/>
    </xf>
    <xf numFmtId="0" fontId="0" fillId="0" borderId="25" xfId="0" applyFill="1" applyBorder="1"/>
    <xf numFmtId="0" fontId="19" fillId="0" borderId="7" xfId="0" applyFont="1" applyFill="1" applyBorder="1" applyAlignment="1">
      <alignment horizontal="center" vertical="center" wrapText="1"/>
    </xf>
    <xf numFmtId="0" fontId="0" fillId="0" borderId="26" xfId="0" applyFill="1" applyBorder="1"/>
    <xf numFmtId="0" fontId="0" fillId="0" borderId="7" xfId="0" applyFill="1" applyBorder="1" applyAlignment="1">
      <alignment horizontal="center" vertical="center" wrapText="1"/>
    </xf>
    <xf numFmtId="0" fontId="19" fillId="0" borderId="7" xfId="0" applyFont="1" applyFill="1" applyBorder="1" applyAlignment="1">
      <alignment horizontal="center" vertical="center"/>
    </xf>
    <xf numFmtId="3" fontId="19" fillId="0" borderId="7" xfId="0" applyNumberFormat="1" applyFont="1" applyFill="1" applyBorder="1" applyAlignment="1">
      <alignment horizontal="center" vertical="center" wrapText="1"/>
    </xf>
    <xf numFmtId="3" fontId="0" fillId="0" borderId="7" xfId="0" applyNumberFormat="1" applyFill="1" applyBorder="1" applyAlignment="1">
      <alignment vertical="center"/>
    </xf>
    <xf numFmtId="1" fontId="19" fillId="0" borderId="7" xfId="0" applyNumberFormat="1" applyFont="1" applyFill="1" applyBorder="1" applyAlignment="1">
      <alignment horizontal="center" vertical="center"/>
    </xf>
    <xf numFmtId="166" fontId="19" fillId="0" borderId="7" xfId="0" applyNumberFormat="1" applyFont="1" applyFill="1" applyBorder="1" applyAlignment="1">
      <alignment horizontal="center" vertical="center" wrapText="1"/>
    </xf>
    <xf numFmtId="166" fontId="19" fillId="0" borderId="7" xfId="0" applyNumberFormat="1" applyFont="1" applyFill="1" applyBorder="1" applyAlignment="1">
      <alignment horizontal="center" vertical="center"/>
    </xf>
    <xf numFmtId="1" fontId="19" fillId="0" borderId="7" xfId="0" applyNumberFormat="1" applyFont="1" applyFill="1" applyBorder="1" applyAlignment="1">
      <alignment horizontal="center" vertical="center" wrapText="1"/>
    </xf>
    <xf numFmtId="3" fontId="0" fillId="0" borderId="0" xfId="0" applyNumberFormat="1" applyFill="1"/>
    <xf numFmtId="0" fontId="20" fillId="0" borderId="7" xfId="0" applyFont="1" applyFill="1" applyBorder="1" applyAlignment="1">
      <alignment horizontal="center" vertical="center" wrapText="1"/>
    </xf>
    <xf numFmtId="1" fontId="19" fillId="0" borderId="7" xfId="0" applyNumberFormat="1" applyFont="1" applyFill="1" applyBorder="1" applyAlignment="1">
      <alignment horizontal="center" vertical="center" wrapText="1"/>
    </xf>
    <xf numFmtId="166" fontId="26" fillId="0" borderId="7" xfId="0" applyNumberFormat="1" applyFont="1" applyFill="1" applyBorder="1" applyAlignment="1">
      <alignment horizontal="center" vertical="center" wrapText="1"/>
    </xf>
    <xf numFmtId="1" fontId="26" fillId="0" borderId="7" xfId="0" applyNumberFormat="1" applyFont="1" applyFill="1" applyBorder="1" applyAlignment="1">
      <alignment horizontal="center" vertical="center" wrapText="1"/>
    </xf>
    <xf numFmtId="0" fontId="26" fillId="0" borderId="7" xfId="0" applyFont="1" applyFill="1" applyBorder="1" applyAlignment="1">
      <alignment horizontal="center" vertical="center" wrapText="1"/>
    </xf>
    <xf numFmtId="0" fontId="0" fillId="0" borderId="22" xfId="0" applyFill="1" applyBorder="1"/>
    <xf numFmtId="167" fontId="19" fillId="0" borderId="7" xfId="0" applyNumberFormat="1" applyFont="1" applyFill="1" applyBorder="1" applyAlignment="1">
      <alignment horizontal="center" vertical="center"/>
    </xf>
    <xf numFmtId="168" fontId="0" fillId="0" borderId="7" xfId="0" applyNumberFormat="1" applyFill="1" applyBorder="1" applyAlignment="1">
      <alignment vertical="center"/>
    </xf>
    <xf numFmtId="1" fontId="27" fillId="0" borderId="7" xfId="0" applyNumberFormat="1" applyFont="1" applyFill="1" applyBorder="1" applyAlignment="1">
      <alignment vertical="center"/>
    </xf>
    <xf numFmtId="0" fontId="21" fillId="0" borderId="7" xfId="0" applyFont="1" applyFill="1" applyBorder="1" applyAlignment="1">
      <alignment horizontal="center" vertical="center" wrapText="1"/>
    </xf>
    <xf numFmtId="0" fontId="0" fillId="0" borderId="7" xfId="0" applyFill="1" applyBorder="1" applyAlignment="1">
      <alignment vertical="center" wrapText="1"/>
    </xf>
    <xf numFmtId="167" fontId="0" fillId="0" borderId="7" xfId="0" applyNumberFormat="1" applyFill="1" applyBorder="1"/>
    <xf numFmtId="1" fontId="19" fillId="0" borderId="7" xfId="0" applyNumberFormat="1" applyFont="1" applyFill="1" applyBorder="1" applyAlignment="1">
      <alignment vertical="center" wrapText="1"/>
    </xf>
    <xf numFmtId="167" fontId="19" fillId="0" borderId="7" xfId="0" applyNumberFormat="1" applyFont="1" applyFill="1" applyBorder="1" applyAlignment="1">
      <alignment vertical="center" wrapText="1"/>
    </xf>
    <xf numFmtId="0" fontId="19" fillId="0" borderId="7" xfId="0" applyFont="1" applyFill="1" applyBorder="1" applyAlignment="1">
      <alignment vertical="center" wrapText="1"/>
    </xf>
    <xf numFmtId="0" fontId="0" fillId="0" borderId="7" xfId="0" applyFill="1" applyBorder="1"/>
    <xf numFmtId="0" fontId="0" fillId="0" borderId="0" xfId="0" applyFill="1" applyAlignment="1">
      <alignment horizontal="center" vertical="center" wrapText="1"/>
    </xf>
    <xf numFmtId="0" fontId="19" fillId="0" borderId="0" xfId="0" applyFont="1" applyFill="1" applyAlignment="1">
      <alignment horizontal="center" vertical="center"/>
    </xf>
    <xf numFmtId="0" fontId="0" fillId="0" borderId="7" xfId="0" applyFill="1" applyBorder="1" applyAlignment="1">
      <alignment horizontal="center"/>
    </xf>
    <xf numFmtId="166" fontId="19" fillId="0" borderId="0" xfId="0" applyNumberFormat="1" applyFont="1" applyFill="1" applyAlignment="1">
      <alignment horizontal="center" vertical="center"/>
    </xf>
    <xf numFmtId="166" fontId="19" fillId="0" borderId="0" xfId="0" applyNumberFormat="1" applyFont="1" applyFill="1" applyAlignment="1">
      <alignment horizontal="center" vertical="center" wrapText="1"/>
    </xf>
    <xf numFmtId="167" fontId="19" fillId="0" borderId="7" xfId="0" applyNumberFormat="1" applyFont="1" applyFill="1" applyBorder="1" applyAlignment="1">
      <alignment horizontal="center" vertical="center" wrapText="1"/>
    </xf>
    <xf numFmtId="0" fontId="5" fillId="0" borderId="7" xfId="0" applyFont="1" applyFill="1" applyBorder="1" applyAlignment="1">
      <alignment horizontal="center" vertical="center" wrapText="1"/>
    </xf>
    <xf numFmtId="168" fontId="0" fillId="0" borderId="7" xfId="0" applyNumberFormat="1" applyFill="1" applyBorder="1" applyAlignment="1">
      <alignment horizontal="center" vertical="center"/>
    </xf>
    <xf numFmtId="168" fontId="1" fillId="0" borderId="7" xfId="0" applyNumberFormat="1" applyFont="1" applyFill="1" applyBorder="1" applyAlignment="1">
      <alignment horizontal="center" vertical="center"/>
    </xf>
    <xf numFmtId="168" fontId="19" fillId="0" borderId="7" xfId="0" applyNumberFormat="1" applyFont="1" applyFill="1" applyBorder="1" applyAlignment="1">
      <alignment horizontal="center" vertical="center" wrapText="1"/>
    </xf>
    <xf numFmtId="0" fontId="19" fillId="0" borderId="0" xfId="0" applyFont="1" applyFill="1" applyBorder="1" applyAlignment="1">
      <alignment horizontal="center" vertical="center" wrapText="1"/>
    </xf>
    <xf numFmtId="0" fontId="19" fillId="0" borderId="0" xfId="0" applyFont="1" applyFill="1" applyBorder="1" applyAlignment="1">
      <alignment horizontal="center" vertical="center" wrapText="1"/>
    </xf>
    <xf numFmtId="0" fontId="0" fillId="0" borderId="0" xfId="0" applyFill="1" applyBorder="1"/>
    <xf numFmtId="0" fontId="22" fillId="0" borderId="0" xfId="0" applyFont="1" applyFill="1" applyBorder="1" applyAlignment="1">
      <alignment horizontal="right" vertical="center" wrapText="1"/>
    </xf>
    <xf numFmtId="0" fontId="0" fillId="0" borderId="7" xfId="0" applyFill="1" applyBorder="1"/>
    <xf numFmtId="0" fontId="5" fillId="0" borderId="7" xfId="0" applyFont="1" applyFill="1" applyBorder="1"/>
    <xf numFmtId="0" fontId="5" fillId="0" borderId="0" xfId="2"/>
    <xf numFmtId="0" fontId="5" fillId="0" borderId="7" xfId="2" applyBorder="1"/>
    <xf numFmtId="0" fontId="5" fillId="0" borderId="7" xfId="2" applyBorder="1" applyAlignment="1">
      <alignment wrapText="1"/>
    </xf>
    <xf numFmtId="0" fontId="5" fillId="0" borderId="7" xfId="2" applyBorder="1" applyAlignment="1">
      <alignment horizontal="center" vertical="center"/>
    </xf>
    <xf numFmtId="0" fontId="11" fillId="3" borderId="7" xfId="2" applyFont="1" applyFill="1" applyBorder="1" applyAlignment="1">
      <alignment wrapText="1"/>
    </xf>
    <xf numFmtId="0" fontId="30" fillId="0" borderId="7" xfId="2" applyFont="1" applyBorder="1" applyAlignment="1">
      <alignment wrapText="1"/>
    </xf>
    <xf numFmtId="0" fontId="31" fillId="0" borderId="7" xfId="2" applyFont="1" applyBorder="1" applyAlignment="1">
      <alignment wrapText="1"/>
    </xf>
    <xf numFmtId="0" fontId="5" fillId="6" borderId="7" xfId="2" applyFill="1" applyBorder="1" applyAlignment="1">
      <alignment wrapText="1"/>
    </xf>
    <xf numFmtId="0" fontId="32" fillId="7" borderId="7" xfId="2" applyFont="1" applyFill="1" applyBorder="1" applyAlignment="1">
      <alignment wrapText="1"/>
    </xf>
    <xf numFmtId="0" fontId="5" fillId="7" borderId="7" xfId="2" applyFill="1" applyBorder="1" applyAlignment="1">
      <alignment wrapText="1"/>
    </xf>
    <xf numFmtId="0" fontId="11" fillId="0" borderId="7" xfId="2" applyFont="1" applyBorder="1" applyAlignment="1">
      <alignment wrapText="1"/>
    </xf>
    <xf numFmtId="0" fontId="5" fillId="8" borderId="7" xfId="2" applyFill="1" applyBorder="1" applyAlignment="1">
      <alignment wrapText="1"/>
    </xf>
    <xf numFmtId="0" fontId="11" fillId="7" borderId="7" xfId="2" applyFont="1" applyFill="1" applyBorder="1" applyAlignment="1">
      <alignment wrapText="1"/>
    </xf>
    <xf numFmtId="0" fontId="11" fillId="0" borderId="7" xfId="2" applyFont="1" applyBorder="1" applyAlignment="1">
      <alignment horizontal="center"/>
    </xf>
    <xf numFmtId="0" fontId="33" fillId="2" borderId="7" xfId="2" applyFont="1" applyFill="1" applyBorder="1" applyAlignment="1">
      <alignment vertical="center"/>
    </xf>
    <xf numFmtId="0" fontId="33" fillId="3" borderId="29" xfId="2" applyFont="1" applyFill="1" applyBorder="1" applyAlignment="1">
      <alignment vertical="center"/>
    </xf>
    <xf numFmtId="0" fontId="33" fillId="3" borderId="30" xfId="2" applyFont="1" applyFill="1" applyBorder="1" applyAlignment="1">
      <alignment vertical="center"/>
    </xf>
    <xf numFmtId="0" fontId="33" fillId="3" borderId="31" xfId="2" applyFont="1" applyFill="1" applyBorder="1" applyAlignment="1">
      <alignment vertical="center"/>
    </xf>
    <xf numFmtId="0" fontId="33" fillId="3" borderId="7" xfId="2" applyFont="1" applyFill="1" applyBorder="1" applyAlignment="1">
      <alignment vertical="center"/>
    </xf>
    <xf numFmtId="0" fontId="33" fillId="2" borderId="7" xfId="2" applyFont="1" applyFill="1" applyBorder="1" applyAlignment="1">
      <alignment vertical="center" wrapText="1"/>
    </xf>
    <xf numFmtId="0" fontId="34" fillId="2" borderId="7" xfId="2" applyFont="1" applyFill="1" applyBorder="1" applyAlignment="1">
      <alignment horizontal="center" vertical="center" wrapText="1"/>
    </xf>
    <xf numFmtId="0" fontId="33" fillId="2" borderId="7" xfId="2" applyFont="1" applyFill="1" applyBorder="1" applyAlignment="1">
      <alignment horizontal="center" vertical="center"/>
    </xf>
    <xf numFmtId="0" fontId="33" fillId="3" borderId="32" xfId="2" applyFont="1" applyFill="1" applyBorder="1" applyAlignment="1">
      <alignment vertical="center" wrapText="1"/>
    </xf>
    <xf numFmtId="0" fontId="33" fillId="3" borderId="33" xfId="2" applyFont="1" applyFill="1" applyBorder="1" applyAlignment="1">
      <alignment vertical="center" wrapText="1"/>
    </xf>
    <xf numFmtId="0" fontId="33" fillId="3" borderId="7" xfId="2" applyFont="1" applyFill="1" applyBorder="1" applyAlignment="1">
      <alignment vertical="center" wrapText="1"/>
    </xf>
    <xf numFmtId="0" fontId="33" fillId="3" borderId="29" xfId="2" applyFont="1" applyFill="1" applyBorder="1" applyAlignment="1">
      <alignment vertical="center" wrapText="1"/>
    </xf>
    <xf numFmtId="0" fontId="33" fillId="3" borderId="34" xfId="2" applyFont="1" applyFill="1" applyBorder="1" applyAlignment="1">
      <alignment vertical="center" wrapText="1"/>
    </xf>
    <xf numFmtId="0" fontId="33" fillId="3" borderId="30" xfId="2" applyFont="1" applyFill="1" applyBorder="1" applyAlignment="1">
      <alignment vertical="center" wrapText="1"/>
    </xf>
    <xf numFmtId="0" fontId="33" fillId="3" borderId="0" xfId="2" applyFont="1" applyFill="1" applyAlignment="1">
      <alignment vertical="center"/>
    </xf>
    <xf numFmtId="0" fontId="4" fillId="2" borderId="7" xfId="2" applyFont="1" applyFill="1" applyBorder="1" applyAlignment="1">
      <alignment horizontal="center" vertical="center" wrapText="1"/>
    </xf>
    <xf numFmtId="0" fontId="34" fillId="2" borderId="7" xfId="2" applyFont="1" applyFill="1" applyBorder="1" applyAlignment="1">
      <alignment horizontal="center" vertical="center" wrapText="1"/>
    </xf>
    <xf numFmtId="0" fontId="35" fillId="2" borderId="7" xfId="2" applyFont="1" applyFill="1" applyBorder="1" applyAlignment="1">
      <alignment horizontal="center" vertical="center"/>
    </xf>
    <xf numFmtId="0" fontId="35" fillId="3" borderId="29" xfId="2" applyFont="1" applyFill="1" applyBorder="1" applyAlignment="1">
      <alignment horizontal="center" vertical="center"/>
    </xf>
    <xf numFmtId="0" fontId="35" fillId="3" borderId="7" xfId="2" applyFont="1" applyFill="1" applyBorder="1" applyAlignment="1">
      <alignment horizontal="center" vertical="center"/>
    </xf>
    <xf numFmtId="0" fontId="35" fillId="2" borderId="7" xfId="2" applyFont="1" applyFill="1" applyBorder="1" applyAlignment="1">
      <alignment horizontal="center" vertical="center" wrapText="1"/>
    </xf>
    <xf numFmtId="0" fontId="35" fillId="2" borderId="7" xfId="2" applyFont="1" applyFill="1" applyBorder="1" applyAlignment="1">
      <alignment horizontal="center" vertical="center"/>
    </xf>
    <xf numFmtId="0" fontId="35" fillId="3" borderId="34" xfId="2" applyFont="1" applyFill="1" applyBorder="1" applyAlignment="1">
      <alignment horizontal="center" vertical="center"/>
    </xf>
    <xf numFmtId="0" fontId="35" fillId="3" borderId="35" xfId="2" applyFont="1" applyFill="1" applyBorder="1" applyAlignment="1">
      <alignment horizontal="center" vertical="center"/>
    </xf>
    <xf numFmtId="0" fontId="35" fillId="3" borderId="7" xfId="2" applyFont="1" applyFill="1" applyBorder="1" applyAlignment="1">
      <alignment horizontal="center" vertical="center"/>
    </xf>
    <xf numFmtId="0" fontId="10" fillId="0" borderId="0" xfId="2" applyFont="1" applyAlignment="1">
      <alignment horizontal="center" vertical="center" wrapText="1"/>
    </xf>
    <xf numFmtId="0" fontId="33" fillId="3" borderId="29" xfId="2" applyFont="1" applyFill="1" applyBorder="1" applyAlignment="1">
      <alignment horizontal="center" vertical="center"/>
    </xf>
    <xf numFmtId="0" fontId="33" fillId="3" borderId="30" xfId="2" applyFont="1" applyFill="1" applyBorder="1" applyAlignment="1">
      <alignment horizontal="center" vertical="center"/>
    </xf>
    <xf numFmtId="0" fontId="33" fillId="3" borderId="31" xfId="2" applyFont="1" applyFill="1" applyBorder="1" applyAlignment="1">
      <alignment horizontal="center" vertical="center"/>
    </xf>
    <xf numFmtId="0" fontId="33" fillId="3" borderId="32" xfId="2" applyFont="1" applyFill="1" applyBorder="1" applyAlignment="1">
      <alignment horizontal="center" vertical="center" wrapText="1"/>
    </xf>
    <xf numFmtId="0" fontId="33" fillId="3" borderId="33" xfId="2" applyFont="1" applyFill="1" applyBorder="1" applyAlignment="1">
      <alignment horizontal="center" vertical="center" wrapText="1"/>
    </xf>
    <xf numFmtId="0" fontId="33" fillId="3" borderId="29" xfId="2" applyFont="1" applyFill="1" applyBorder="1" applyAlignment="1">
      <alignment horizontal="center" vertical="center" wrapText="1"/>
    </xf>
    <xf numFmtId="0" fontId="33" fillId="3" borderId="34" xfId="2" applyFont="1" applyFill="1" applyBorder="1" applyAlignment="1">
      <alignment horizontal="center" vertical="center" wrapText="1"/>
    </xf>
    <xf numFmtId="0" fontId="33" fillId="3" borderId="30" xfId="2" applyFont="1" applyFill="1" applyBorder="1" applyAlignment="1">
      <alignment horizontal="center" vertical="center" wrapText="1"/>
    </xf>
    <xf numFmtId="0" fontId="33" fillId="3" borderId="0" xfId="2" applyFont="1" applyFill="1" applyAlignment="1">
      <alignment horizontal="center" vertical="center"/>
    </xf>
    <xf numFmtId="0" fontId="5" fillId="2" borderId="29" xfId="2" applyFill="1" applyBorder="1"/>
    <xf numFmtId="0" fontId="36" fillId="2" borderId="29" xfId="2" applyFont="1" applyFill="1" applyBorder="1" applyAlignment="1">
      <alignment horizontal="left" vertical="top" wrapText="1"/>
    </xf>
    <xf numFmtId="0" fontId="37" fillId="2" borderId="29" xfId="2" applyFont="1" applyFill="1" applyBorder="1" applyAlignment="1">
      <alignment horizontal="justify" vertical="top" wrapText="1"/>
    </xf>
    <xf numFmtId="0" fontId="37" fillId="2" borderId="30" xfId="2" applyFont="1" applyFill="1" applyBorder="1" applyAlignment="1">
      <alignment horizontal="center" vertical="top" wrapText="1"/>
    </xf>
    <xf numFmtId="0" fontId="38" fillId="2" borderId="30" xfId="2" applyFont="1" applyFill="1" applyBorder="1" applyAlignment="1">
      <alignment horizontal="center" vertical="top" wrapText="1"/>
    </xf>
    <xf numFmtId="0" fontId="36" fillId="2" borderId="29" xfId="2" applyFont="1" applyFill="1" applyBorder="1" applyAlignment="1">
      <alignment horizontal="center" vertical="center" wrapText="1"/>
    </xf>
    <xf numFmtId="0" fontId="39" fillId="2" borderId="29" xfId="2" applyFont="1" applyFill="1" applyBorder="1" applyAlignment="1">
      <alignment horizontal="center" vertical="top" wrapText="1"/>
    </xf>
    <xf numFmtId="0" fontId="36" fillId="2" borderId="29" xfId="2" applyFont="1" applyFill="1" applyBorder="1" applyAlignment="1">
      <alignment horizontal="center" vertical="center" wrapText="1"/>
    </xf>
    <xf numFmtId="0" fontId="36" fillId="2" borderId="29" xfId="2" applyFont="1" applyFill="1" applyBorder="1" applyAlignment="1">
      <alignment horizontal="left" vertical="top" wrapText="1"/>
    </xf>
    <xf numFmtId="0" fontId="37" fillId="2" borderId="29" xfId="2" applyFont="1" applyFill="1" applyBorder="1" applyAlignment="1">
      <alignment horizontal="center" vertical="top" wrapText="1"/>
    </xf>
    <xf numFmtId="0" fontId="37" fillId="2" borderId="29" xfId="2" applyFont="1" applyFill="1" applyBorder="1" applyAlignment="1">
      <alignment horizontal="justify" vertical="top" wrapText="1"/>
    </xf>
    <xf numFmtId="0" fontId="37" fillId="2" borderId="30" xfId="2" applyFont="1" applyFill="1" applyBorder="1" applyAlignment="1">
      <alignment horizontal="center" vertical="top" wrapText="1"/>
    </xf>
    <xf numFmtId="0" fontId="39" fillId="2" borderId="36" xfId="2" applyFont="1" applyFill="1" applyBorder="1" applyAlignment="1">
      <alignment horizontal="center" vertical="top" wrapText="1"/>
    </xf>
    <xf numFmtId="0" fontId="38" fillId="2" borderId="29" xfId="2" applyFont="1" applyFill="1" applyBorder="1" applyAlignment="1">
      <alignment horizontal="center" vertical="top" wrapText="1"/>
    </xf>
    <xf numFmtId="0" fontId="45" fillId="2" borderId="29" xfId="2" applyFont="1" applyFill="1" applyBorder="1" applyAlignment="1">
      <alignment horizontal="center" vertical="top" wrapText="1"/>
    </xf>
    <xf numFmtId="0" fontId="37" fillId="2" borderId="29" xfId="2" applyFont="1" applyFill="1" applyBorder="1" applyAlignment="1">
      <alignment horizontal="center" vertical="center" wrapText="1"/>
    </xf>
    <xf numFmtId="0" fontId="45" fillId="2" borderId="29" xfId="2" applyFont="1" applyFill="1" applyBorder="1" applyAlignment="1">
      <alignment horizontal="center" vertical="top" wrapText="1"/>
    </xf>
    <xf numFmtId="0" fontId="37" fillId="2" borderId="36" xfId="2" applyFont="1" applyFill="1" applyBorder="1" applyAlignment="1">
      <alignment horizontal="center" vertical="center" wrapText="1"/>
    </xf>
    <xf numFmtId="0" fontId="37" fillId="2" borderId="36" xfId="2" applyFont="1" applyFill="1" applyBorder="1" applyAlignment="1">
      <alignment horizontal="justify" vertical="top" wrapText="1"/>
    </xf>
    <xf numFmtId="0" fontId="36" fillId="2" borderId="36" xfId="2" applyFont="1" applyFill="1" applyBorder="1" applyAlignment="1">
      <alignment horizontal="center" vertical="center" wrapText="1"/>
    </xf>
    <xf numFmtId="0" fontId="38" fillId="2" borderId="29" xfId="2" applyFont="1" applyFill="1" applyBorder="1" applyAlignment="1">
      <alignment horizontal="center" vertical="center" wrapText="1"/>
    </xf>
    <xf numFmtId="0" fontId="38" fillId="2" borderId="29" xfId="2" applyFont="1" applyFill="1" applyBorder="1" applyAlignment="1">
      <alignment horizontal="center" vertical="center" wrapText="1"/>
    </xf>
    <xf numFmtId="0" fontId="38" fillId="2" borderId="29" xfId="2" applyFont="1" applyFill="1" applyBorder="1" applyAlignment="1">
      <alignment horizontal="center" wrapText="1"/>
    </xf>
    <xf numFmtId="0" fontId="36" fillId="2" borderId="30" xfId="2" applyFont="1" applyFill="1" applyBorder="1" applyAlignment="1">
      <alignment horizontal="left" wrapText="1"/>
    </xf>
    <xf numFmtId="0" fontId="38" fillId="2" borderId="36" xfId="2" applyFont="1" applyFill="1" applyBorder="1" applyAlignment="1">
      <alignment horizontal="center" vertical="center" wrapText="1"/>
    </xf>
    <xf numFmtId="0" fontId="37" fillId="2" borderId="29" xfId="2" applyFont="1" applyFill="1" applyBorder="1" applyAlignment="1">
      <alignment horizontal="left" vertical="top" wrapText="1"/>
    </xf>
    <xf numFmtId="0" fontId="37" fillId="2" borderId="37" xfId="2" applyFont="1" applyFill="1" applyBorder="1" applyAlignment="1">
      <alignment horizontal="left" vertical="top" wrapText="1"/>
    </xf>
    <xf numFmtId="0" fontId="37" fillId="2" borderId="36" xfId="2" applyFont="1" applyFill="1" applyBorder="1" applyAlignment="1">
      <alignment horizontal="left" vertical="top" wrapText="1"/>
    </xf>
    <xf numFmtId="0" fontId="37" fillId="2" borderId="38" xfId="2" applyFont="1" applyFill="1" applyBorder="1" applyAlignment="1">
      <alignment horizontal="left" vertical="top" wrapText="1"/>
    </xf>
    <xf numFmtId="0" fontId="37" fillId="2" borderId="30" xfId="2" applyFont="1" applyFill="1" applyBorder="1" applyAlignment="1">
      <alignment horizontal="justify" vertical="top" wrapText="1"/>
    </xf>
    <xf numFmtId="0" fontId="38" fillId="2" borderId="39" xfId="2" applyFont="1" applyFill="1" applyBorder="1" applyAlignment="1">
      <alignment horizontal="center" vertical="top" wrapText="1"/>
    </xf>
    <xf numFmtId="0" fontId="47" fillId="0" borderId="0" xfId="2" applyFont="1" applyAlignment="1">
      <alignment horizontal="center"/>
    </xf>
    <xf numFmtId="0" fontId="47" fillId="0" borderId="0" xfId="2" applyFont="1" applyAlignment="1">
      <alignment horizontal="center" wrapText="1"/>
    </xf>
    <xf numFmtId="0" fontId="5" fillId="0" borderId="0" xfId="2" applyAlignment="1">
      <alignment horizontal="left" vertical="center" indent="1"/>
    </xf>
    <xf numFmtId="0" fontId="11" fillId="0" borderId="0" xfId="2" applyFont="1"/>
    <xf numFmtId="0" fontId="48" fillId="0" borderId="40" xfId="2" applyFont="1" applyBorder="1"/>
    <xf numFmtId="0" fontId="48" fillId="0" borderId="7" xfId="2" applyFont="1" applyBorder="1"/>
    <xf numFmtId="0" fontId="5" fillId="0" borderId="22" xfId="2" applyBorder="1"/>
    <xf numFmtId="0" fontId="5" fillId="0" borderId="23" xfId="2" applyBorder="1"/>
    <xf numFmtId="0" fontId="49" fillId="0" borderId="7" xfId="2" applyFont="1" applyBorder="1" applyAlignment="1">
      <alignment horizontal="center"/>
    </xf>
    <xf numFmtId="0" fontId="48" fillId="0" borderId="25" xfId="2" applyFont="1" applyBorder="1"/>
    <xf numFmtId="0" fontId="48" fillId="0" borderId="7" xfId="2" applyFont="1" applyBorder="1" applyAlignment="1">
      <alignment horizontal="left"/>
    </xf>
    <xf numFmtId="0" fontId="15" fillId="0" borderId="0" xfId="2" applyFont="1"/>
    <xf numFmtId="0" fontId="49" fillId="0" borderId="40" xfId="2" applyFont="1" applyBorder="1"/>
    <xf numFmtId="0" fontId="49" fillId="0" borderId="7" xfId="2" applyFont="1" applyBorder="1"/>
    <xf numFmtId="1" fontId="0" fillId="4" borderId="7" xfId="0" applyNumberFormat="1" applyFill="1" applyBorder="1" applyAlignment="1">
      <alignment horizontal="center" vertical="center"/>
    </xf>
  </cellXfs>
  <cellStyles count="3">
    <cellStyle name="Обычный" xfId="0" builtinId="0"/>
    <cellStyle name="Обычный 2" xfId="2" xr:uid="{BDD1159B-7484-4714-B113-AC8EEB3EEA4D}"/>
    <cellStyle name="Процентный"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DELL/Downloads/&#1069;&#1085;&#1077;&#1088;&#1075;&#1086;&#1087;&#1072;&#1089;&#1087;&#1086;&#1088;&#1090;%20&#1052;&#1077;&#1090;&#1080;&#1085;%20&#1048;&#1088;&#1086;&#1076;&#1072;_&#1089;_&#1086;&#1073;&#1098;&#1077;&#1084;&#1072;&#1084;&#108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DELL/Downloads/Telegram%20Desktop/&#1069;&#1053;&#1045;&#1056;&#1043;&#1054;_&#1055;&#1040;&#1057;&#1055;&#1054;&#1056;&#1058;_231020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Узел учета "/>
      <sheetName val="Структура пр 2"/>
      <sheetName val="Баланс"/>
      <sheetName val="Динамика ср"/>
      <sheetName val="мазут,уголь 5 "/>
      <sheetName val="Расход  на ед.п"/>
      <sheetName val="паспорт здание "/>
      <sheetName val="Мероприятия"/>
      <sheetName val="Объемы продукции"/>
      <sheetName val="Продукция"/>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Узел учета "/>
      <sheetName val="Структура пр 2 "/>
      <sheetName val="Баланс"/>
      <sheetName val="Динамика ср"/>
      <sheetName val="Расход  на ед.п"/>
      <sheetName val="Мероприятия"/>
      <sheetName val="Лист1"/>
      <sheetName val="Исходные  данные"/>
      <sheetName val="Структура  потребления"/>
    </sheetNames>
    <sheetDataSet>
      <sheetData sheetId="0"/>
      <sheetData sheetId="1">
        <row r="10">
          <cell r="I10">
            <v>0</v>
          </cell>
          <cell r="X10">
            <v>0</v>
          </cell>
          <cell r="AM10">
            <v>0</v>
          </cell>
          <cell r="BB10">
            <v>0</v>
          </cell>
        </row>
        <row r="26">
          <cell r="I26">
            <v>0</v>
          </cell>
          <cell r="X26">
            <v>0</v>
          </cell>
          <cell r="AM26">
            <v>0</v>
          </cell>
          <cell r="BB26">
            <v>0</v>
          </cell>
        </row>
        <row r="42">
          <cell r="I42">
            <v>0</v>
          </cell>
          <cell r="X42">
            <v>0</v>
          </cell>
          <cell r="AM42">
            <v>0</v>
          </cell>
          <cell r="BB42">
            <v>0</v>
          </cell>
        </row>
      </sheetData>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hyperlink" Target="javascript:scrollText(691099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D92CD-301C-4297-B657-DF85D7B00B20}">
  <dimension ref="A1:I121"/>
  <sheetViews>
    <sheetView tabSelected="1" topLeftCell="A36" zoomScale="165" zoomScaleNormal="165" workbookViewId="0">
      <selection activeCell="B26" sqref="B26"/>
    </sheetView>
  </sheetViews>
  <sheetFormatPr defaultColWidth="9" defaultRowHeight="14.4"/>
  <cols>
    <col min="1" max="1" width="4.44140625" style="193" customWidth="1"/>
    <col min="2" max="2" width="88.33203125" style="193" customWidth="1"/>
    <col min="3" max="16384" width="9" style="193"/>
  </cols>
  <sheetData>
    <row r="1" spans="1:9">
      <c r="A1" s="194"/>
      <c r="B1" s="206" t="s">
        <v>361</v>
      </c>
      <c r="C1" s="194"/>
      <c r="D1" s="194"/>
      <c r="E1" s="194"/>
      <c r="F1" s="194"/>
      <c r="G1" s="194"/>
      <c r="H1" s="194"/>
      <c r="I1" s="194"/>
    </row>
    <row r="2" spans="1:9" hidden="1">
      <c r="A2" s="194"/>
      <c r="B2" s="194" t="s">
        <v>360</v>
      </c>
      <c r="C2" s="194"/>
      <c r="D2" s="194"/>
      <c r="E2" s="194"/>
      <c r="F2" s="194"/>
      <c r="G2" s="194"/>
      <c r="H2" s="194"/>
      <c r="I2" s="194"/>
    </row>
    <row r="3" spans="1:9" hidden="1">
      <c r="A3" s="194"/>
      <c r="B3" s="194" t="s">
        <v>359</v>
      </c>
      <c r="C3" s="194"/>
      <c r="D3" s="194"/>
      <c r="E3" s="194"/>
      <c r="F3" s="194"/>
      <c r="G3" s="194"/>
      <c r="H3" s="194"/>
      <c r="I3" s="194"/>
    </row>
    <row r="4" spans="1:9" hidden="1">
      <c r="A4" s="194"/>
      <c r="B4" s="194" t="s">
        <v>358</v>
      </c>
      <c r="C4" s="194"/>
      <c r="D4" s="194"/>
      <c r="E4" s="194"/>
      <c r="F4" s="194"/>
      <c r="G4" s="194"/>
      <c r="H4" s="194"/>
      <c r="I4" s="194"/>
    </row>
    <row r="5" spans="1:9" hidden="1">
      <c r="A5" s="194"/>
      <c r="B5" s="194" t="s">
        <v>357</v>
      </c>
      <c r="C5" s="194"/>
      <c r="D5" s="194"/>
      <c r="E5" s="194"/>
      <c r="F5" s="194"/>
      <c r="G5" s="194"/>
      <c r="H5" s="194"/>
      <c r="I5" s="194"/>
    </row>
    <row r="6" spans="1:9" ht="28.8">
      <c r="A6" s="196">
        <v>1</v>
      </c>
      <c r="B6" s="195" t="s">
        <v>356</v>
      </c>
      <c r="C6" s="194"/>
      <c r="D6" s="194"/>
      <c r="E6" s="194"/>
      <c r="F6" s="194"/>
      <c r="G6" s="194"/>
      <c r="H6" s="194"/>
      <c r="I6" s="194"/>
    </row>
    <row r="7" spans="1:9" ht="28.8">
      <c r="A7" s="196">
        <v>2</v>
      </c>
      <c r="B7" s="195" t="s">
        <v>355</v>
      </c>
      <c r="C7" s="194"/>
      <c r="D7" s="194"/>
      <c r="E7" s="194"/>
      <c r="F7" s="194"/>
      <c r="G7" s="194"/>
      <c r="H7" s="194"/>
      <c r="I7" s="194"/>
    </row>
    <row r="8" spans="1:9" ht="43.2">
      <c r="A8" s="196">
        <v>3</v>
      </c>
      <c r="B8" s="195" t="s">
        <v>354</v>
      </c>
      <c r="C8" s="194"/>
      <c r="D8" s="194"/>
      <c r="E8" s="194"/>
      <c r="F8" s="194"/>
      <c r="G8" s="194"/>
      <c r="H8" s="194"/>
      <c r="I8" s="194"/>
    </row>
    <row r="9" spans="1:9" ht="72">
      <c r="A9" s="196">
        <v>4</v>
      </c>
      <c r="B9" s="195" t="s">
        <v>353</v>
      </c>
      <c r="C9" s="194"/>
      <c r="D9" s="194"/>
      <c r="E9" s="194"/>
      <c r="F9" s="194"/>
      <c r="G9" s="194"/>
      <c r="H9" s="194"/>
      <c r="I9" s="194"/>
    </row>
    <row r="10" spans="1:9">
      <c r="A10" s="196">
        <v>5</v>
      </c>
      <c r="B10" s="197" t="s">
        <v>352</v>
      </c>
      <c r="C10" s="194"/>
      <c r="D10" s="194"/>
      <c r="E10" s="194"/>
      <c r="F10" s="194"/>
      <c r="G10" s="194"/>
      <c r="H10" s="194"/>
      <c r="I10" s="194"/>
    </row>
    <row r="11" spans="1:9">
      <c r="A11" s="196">
        <v>6</v>
      </c>
      <c r="B11" s="195" t="s">
        <v>351</v>
      </c>
      <c r="C11" s="194"/>
      <c r="D11" s="194"/>
      <c r="E11" s="194"/>
      <c r="F11" s="194"/>
      <c r="G11" s="194"/>
      <c r="H11" s="194"/>
      <c r="I11" s="194"/>
    </row>
    <row r="12" spans="1:9">
      <c r="A12" s="196">
        <v>7</v>
      </c>
      <c r="B12" s="195" t="s">
        <v>350</v>
      </c>
      <c r="C12" s="194"/>
      <c r="D12" s="194"/>
      <c r="E12" s="194"/>
      <c r="F12" s="194"/>
      <c r="G12" s="194"/>
      <c r="H12" s="194"/>
      <c r="I12" s="194"/>
    </row>
    <row r="13" spans="1:9">
      <c r="A13" s="196">
        <v>8</v>
      </c>
      <c r="B13" s="195" t="s">
        <v>349</v>
      </c>
      <c r="C13" s="194"/>
      <c r="D13" s="194"/>
      <c r="E13" s="194"/>
      <c r="F13" s="194"/>
      <c r="G13" s="194"/>
      <c r="H13" s="194"/>
      <c r="I13" s="194"/>
    </row>
    <row r="14" spans="1:9">
      <c r="A14" s="196">
        <v>9</v>
      </c>
      <c r="B14" s="195" t="s">
        <v>348</v>
      </c>
      <c r="C14" s="194"/>
      <c r="D14" s="194"/>
      <c r="E14" s="194"/>
      <c r="F14" s="194"/>
      <c r="G14" s="194"/>
      <c r="H14" s="194"/>
      <c r="I14" s="194"/>
    </row>
    <row r="15" spans="1:9">
      <c r="A15" s="196">
        <v>10</v>
      </c>
      <c r="B15" s="195" t="s">
        <v>347</v>
      </c>
      <c r="C15" s="194"/>
      <c r="D15" s="194"/>
      <c r="E15" s="194"/>
      <c r="F15" s="194"/>
      <c r="G15" s="194"/>
      <c r="H15" s="194"/>
      <c r="I15" s="194"/>
    </row>
    <row r="16" spans="1:9" ht="28.2" customHeight="1">
      <c r="A16" s="196">
        <v>11</v>
      </c>
      <c r="B16" s="195" t="s">
        <v>346</v>
      </c>
      <c r="C16" s="194"/>
      <c r="D16" s="194"/>
      <c r="E16" s="194"/>
      <c r="F16" s="194"/>
      <c r="G16" s="194"/>
      <c r="H16" s="194"/>
      <c r="I16" s="194"/>
    </row>
    <row r="17" spans="1:9" ht="21" customHeight="1">
      <c r="A17" s="196">
        <v>12</v>
      </c>
      <c r="B17" s="195" t="s">
        <v>345</v>
      </c>
      <c r="C17" s="194"/>
      <c r="D17" s="194"/>
      <c r="E17" s="194"/>
      <c r="F17" s="194"/>
      <c r="G17" s="194"/>
      <c r="H17" s="194"/>
      <c r="I17" s="194"/>
    </row>
    <row r="18" spans="1:9" ht="28.8">
      <c r="A18" s="196">
        <v>13</v>
      </c>
      <c r="B18" s="195" t="s">
        <v>344</v>
      </c>
      <c r="C18" s="194"/>
      <c r="D18" s="194"/>
      <c r="E18" s="194"/>
      <c r="F18" s="194"/>
      <c r="G18" s="194"/>
      <c r="H18" s="194"/>
      <c r="I18" s="194"/>
    </row>
    <row r="19" spans="1:9" ht="43.2">
      <c r="A19" s="196">
        <v>14</v>
      </c>
      <c r="B19" s="195" t="s">
        <v>343</v>
      </c>
      <c r="C19" s="194"/>
      <c r="D19" s="194"/>
      <c r="E19" s="194"/>
      <c r="F19" s="194"/>
      <c r="G19" s="194"/>
      <c r="H19" s="194"/>
      <c r="I19" s="194"/>
    </row>
    <row r="20" spans="1:9">
      <c r="A20" s="196">
        <v>15</v>
      </c>
      <c r="B20" s="205" t="s">
        <v>342</v>
      </c>
      <c r="C20" s="194"/>
      <c r="D20" s="194"/>
      <c r="E20" s="194"/>
      <c r="F20" s="194"/>
      <c r="G20" s="194"/>
      <c r="H20" s="194"/>
      <c r="I20" s="194"/>
    </row>
    <row r="21" spans="1:9" ht="28.8">
      <c r="A21" s="196">
        <v>16</v>
      </c>
      <c r="B21" s="195" t="s">
        <v>341</v>
      </c>
      <c r="C21" s="194"/>
      <c r="D21" s="194"/>
      <c r="E21" s="194"/>
      <c r="F21" s="194"/>
      <c r="G21" s="194"/>
      <c r="H21" s="194"/>
      <c r="I21" s="194"/>
    </row>
    <row r="22" spans="1:9" ht="43.2">
      <c r="A22" s="196">
        <v>17</v>
      </c>
      <c r="B22" s="195" t="s">
        <v>340</v>
      </c>
      <c r="C22" s="194"/>
      <c r="D22" s="194"/>
      <c r="E22" s="194"/>
      <c r="F22" s="194"/>
      <c r="G22" s="194"/>
      <c r="H22" s="194"/>
      <c r="I22" s="194"/>
    </row>
    <row r="23" spans="1:9" ht="28.8">
      <c r="A23" s="196">
        <v>18</v>
      </c>
      <c r="B23" s="195" t="s">
        <v>339</v>
      </c>
      <c r="C23" s="194"/>
      <c r="D23" s="194"/>
      <c r="E23" s="194"/>
      <c r="F23" s="194"/>
      <c r="G23" s="194"/>
      <c r="H23" s="194"/>
      <c r="I23" s="194"/>
    </row>
    <row r="24" spans="1:9" ht="57.6">
      <c r="A24" s="196">
        <v>19</v>
      </c>
      <c r="B24" s="195" t="s">
        <v>338</v>
      </c>
      <c r="C24" s="194"/>
      <c r="D24" s="194"/>
      <c r="E24" s="194"/>
      <c r="F24" s="194"/>
      <c r="G24" s="194"/>
      <c r="H24" s="194"/>
      <c r="I24" s="194"/>
    </row>
    <row r="25" spans="1:9" ht="28.8">
      <c r="A25" s="196">
        <v>20</v>
      </c>
      <c r="B25" s="195" t="s">
        <v>337</v>
      </c>
      <c r="C25" s="194"/>
      <c r="D25" s="194"/>
      <c r="E25" s="194"/>
      <c r="F25" s="194"/>
      <c r="G25" s="194"/>
      <c r="H25" s="194"/>
      <c r="I25" s="194"/>
    </row>
    <row r="26" spans="1:9" ht="28.8">
      <c r="A26" s="196">
        <v>21</v>
      </c>
      <c r="B26" s="195" t="s">
        <v>336</v>
      </c>
      <c r="C26" s="194"/>
      <c r="D26" s="194"/>
      <c r="E26" s="194"/>
      <c r="F26" s="194"/>
      <c r="G26" s="194"/>
      <c r="H26" s="194"/>
      <c r="I26" s="194"/>
    </row>
    <row r="27" spans="1:9" ht="28.8">
      <c r="A27" s="196">
        <v>22</v>
      </c>
      <c r="B27" s="195" t="s">
        <v>335</v>
      </c>
      <c r="C27" s="194"/>
      <c r="D27" s="194"/>
      <c r="E27" s="194"/>
      <c r="F27" s="194"/>
      <c r="G27" s="194"/>
      <c r="H27" s="194"/>
      <c r="I27" s="194"/>
    </row>
    <row r="28" spans="1:9">
      <c r="A28" s="196">
        <v>23</v>
      </c>
      <c r="B28" s="195" t="s">
        <v>334</v>
      </c>
      <c r="C28" s="194"/>
      <c r="D28" s="194"/>
      <c r="E28" s="194"/>
      <c r="F28" s="194"/>
      <c r="G28" s="194"/>
      <c r="H28" s="194"/>
      <c r="I28" s="194"/>
    </row>
    <row r="29" spans="1:9" ht="28.8">
      <c r="A29" s="196">
        <v>24</v>
      </c>
      <c r="B29" s="204" t="s">
        <v>333</v>
      </c>
      <c r="C29" s="194"/>
      <c r="D29" s="194"/>
      <c r="E29" s="194"/>
      <c r="F29" s="194"/>
      <c r="G29" s="194"/>
      <c r="H29" s="194"/>
      <c r="I29" s="194"/>
    </row>
    <row r="30" spans="1:9" ht="28.8">
      <c r="A30" s="196">
        <v>25</v>
      </c>
      <c r="B30" s="195" t="s">
        <v>332</v>
      </c>
      <c r="C30" s="194"/>
      <c r="D30" s="194"/>
      <c r="E30" s="194"/>
      <c r="F30" s="194"/>
      <c r="G30" s="194"/>
      <c r="H30" s="194"/>
      <c r="I30" s="194"/>
    </row>
    <row r="31" spans="1:9" ht="28.8">
      <c r="A31" s="196">
        <v>26</v>
      </c>
      <c r="B31" s="195" t="s">
        <v>331</v>
      </c>
      <c r="C31" s="194"/>
      <c r="D31" s="194"/>
      <c r="E31" s="194"/>
      <c r="F31" s="194"/>
      <c r="G31" s="194"/>
      <c r="H31" s="194"/>
      <c r="I31" s="194"/>
    </row>
    <row r="32" spans="1:9">
      <c r="A32" s="196">
        <v>27</v>
      </c>
      <c r="B32" s="195" t="s">
        <v>330</v>
      </c>
      <c r="C32" s="194"/>
      <c r="D32" s="194"/>
      <c r="E32" s="194"/>
      <c r="F32" s="194"/>
      <c r="G32" s="194"/>
      <c r="H32" s="194"/>
      <c r="I32" s="194"/>
    </row>
    <row r="33" spans="1:9" ht="28.8">
      <c r="A33" s="196">
        <v>28</v>
      </c>
      <c r="B33" s="195" t="s">
        <v>329</v>
      </c>
      <c r="C33" s="194"/>
      <c r="D33" s="194"/>
      <c r="E33" s="194"/>
      <c r="F33" s="194"/>
      <c r="G33" s="194"/>
      <c r="H33" s="194"/>
      <c r="I33" s="194"/>
    </row>
    <row r="34" spans="1:9">
      <c r="A34" s="196">
        <v>29</v>
      </c>
      <c r="B34" s="195" t="s">
        <v>328</v>
      </c>
      <c r="C34" s="194"/>
      <c r="D34" s="194"/>
      <c r="E34" s="194"/>
      <c r="F34" s="194"/>
      <c r="G34" s="194"/>
      <c r="H34" s="194"/>
      <c r="I34" s="194"/>
    </row>
    <row r="35" spans="1:9">
      <c r="A35" s="196">
        <v>30</v>
      </c>
      <c r="B35" s="195" t="s">
        <v>327</v>
      </c>
      <c r="C35" s="194"/>
      <c r="D35" s="194"/>
      <c r="E35" s="194"/>
      <c r="F35" s="194"/>
      <c r="G35" s="194"/>
      <c r="H35" s="194"/>
      <c r="I35" s="194"/>
    </row>
    <row r="36" spans="1:9">
      <c r="A36" s="196">
        <v>31</v>
      </c>
      <c r="B36" s="195" t="s">
        <v>326</v>
      </c>
      <c r="C36" s="194"/>
      <c r="D36" s="194"/>
      <c r="E36" s="194"/>
      <c r="F36" s="194"/>
      <c r="G36" s="194"/>
      <c r="H36" s="194"/>
      <c r="I36" s="194"/>
    </row>
    <row r="37" spans="1:9">
      <c r="A37" s="196">
        <v>32</v>
      </c>
      <c r="B37" s="195" t="s">
        <v>325</v>
      </c>
      <c r="C37" s="194"/>
      <c r="D37" s="194"/>
      <c r="E37" s="194"/>
      <c r="F37" s="194"/>
      <c r="G37" s="194"/>
      <c r="H37" s="194"/>
      <c r="I37" s="194"/>
    </row>
    <row r="38" spans="1:9" ht="43.2">
      <c r="A38" s="196">
        <v>33</v>
      </c>
      <c r="B38" s="195" t="s">
        <v>324</v>
      </c>
      <c r="C38" s="194"/>
      <c r="D38" s="194"/>
      <c r="E38" s="194"/>
      <c r="F38" s="194"/>
      <c r="G38" s="194"/>
      <c r="H38" s="194"/>
      <c r="I38" s="194"/>
    </row>
    <row r="39" spans="1:9" ht="43.2">
      <c r="A39" s="196">
        <v>34</v>
      </c>
      <c r="B39" s="195" t="s">
        <v>323</v>
      </c>
      <c r="C39" s="194"/>
      <c r="D39" s="194"/>
      <c r="E39" s="194"/>
      <c r="F39" s="194"/>
      <c r="G39" s="194"/>
      <c r="H39" s="194"/>
      <c r="I39" s="194"/>
    </row>
    <row r="40" spans="1:9" ht="72">
      <c r="A40" s="196">
        <v>35</v>
      </c>
      <c r="B40" s="195" t="s">
        <v>322</v>
      </c>
      <c r="C40" s="194"/>
      <c r="D40" s="194"/>
      <c r="E40" s="194"/>
      <c r="F40" s="194"/>
      <c r="G40" s="194"/>
      <c r="H40" s="194"/>
      <c r="I40" s="194"/>
    </row>
    <row r="41" spans="1:9" ht="28.8">
      <c r="A41" s="196">
        <v>36</v>
      </c>
      <c r="B41" s="198" t="s">
        <v>321</v>
      </c>
      <c r="C41" s="194"/>
      <c r="D41" s="194"/>
      <c r="E41" s="194"/>
      <c r="F41" s="194"/>
      <c r="G41" s="194"/>
      <c r="H41" s="194"/>
      <c r="I41" s="194"/>
    </row>
    <row r="42" spans="1:9">
      <c r="A42" s="196">
        <v>37</v>
      </c>
      <c r="B42" s="195" t="s">
        <v>320</v>
      </c>
      <c r="C42" s="194"/>
      <c r="D42" s="194"/>
      <c r="E42" s="194"/>
      <c r="F42" s="194"/>
      <c r="G42" s="194"/>
      <c r="H42" s="194"/>
      <c r="I42" s="194"/>
    </row>
    <row r="43" spans="1:9">
      <c r="A43" s="196">
        <v>38</v>
      </c>
      <c r="B43" s="198" t="s">
        <v>319</v>
      </c>
      <c r="C43" s="194"/>
      <c r="D43" s="194"/>
      <c r="E43" s="194"/>
      <c r="F43" s="194"/>
      <c r="G43" s="194"/>
      <c r="H43" s="194"/>
      <c r="I43" s="194"/>
    </row>
    <row r="44" spans="1:9">
      <c r="A44" s="196">
        <v>39</v>
      </c>
      <c r="B44" s="197" t="s">
        <v>318</v>
      </c>
      <c r="C44" s="194"/>
      <c r="D44" s="194"/>
      <c r="E44" s="194"/>
      <c r="F44" s="194"/>
      <c r="G44" s="194"/>
      <c r="H44" s="194"/>
      <c r="I44" s="194"/>
    </row>
    <row r="45" spans="1:9" ht="28.8">
      <c r="A45" s="196">
        <v>40</v>
      </c>
      <c r="B45" s="195" t="s">
        <v>317</v>
      </c>
      <c r="C45" s="194"/>
      <c r="D45" s="194"/>
      <c r="E45" s="194"/>
      <c r="F45" s="194"/>
      <c r="G45" s="194"/>
      <c r="H45" s="194"/>
      <c r="I45" s="194"/>
    </row>
    <row r="46" spans="1:9">
      <c r="A46" s="196">
        <v>41</v>
      </c>
      <c r="B46" s="195" t="s">
        <v>316</v>
      </c>
      <c r="C46" s="194"/>
      <c r="D46" s="194"/>
      <c r="E46" s="194"/>
      <c r="F46" s="194"/>
      <c r="G46" s="194"/>
      <c r="H46" s="194"/>
      <c r="I46" s="194"/>
    </row>
    <row r="47" spans="1:9">
      <c r="A47" s="196">
        <v>42</v>
      </c>
      <c r="B47" s="195" t="s">
        <v>315</v>
      </c>
      <c r="C47" s="194"/>
      <c r="D47" s="194"/>
      <c r="E47" s="194"/>
      <c r="F47" s="194"/>
      <c r="G47" s="194"/>
      <c r="H47" s="194"/>
      <c r="I47" s="194"/>
    </row>
    <row r="48" spans="1:9">
      <c r="A48" s="196">
        <v>43</v>
      </c>
      <c r="B48" s="195" t="s">
        <v>314</v>
      </c>
      <c r="C48" s="194"/>
      <c r="D48" s="194"/>
      <c r="E48" s="194"/>
      <c r="F48" s="194"/>
      <c r="G48" s="194"/>
      <c r="H48" s="194"/>
      <c r="I48" s="194"/>
    </row>
    <row r="49" spans="1:9" ht="28.8">
      <c r="A49" s="196">
        <v>44</v>
      </c>
      <c r="B49" s="195" t="s">
        <v>313</v>
      </c>
      <c r="C49" s="194"/>
      <c r="D49" s="194"/>
      <c r="E49" s="194"/>
      <c r="F49" s="194"/>
      <c r="G49" s="194"/>
      <c r="H49" s="194"/>
      <c r="I49" s="194"/>
    </row>
    <row r="50" spans="1:9" ht="28.8">
      <c r="A50" s="196">
        <v>45</v>
      </c>
      <c r="B50" s="195" t="s">
        <v>312</v>
      </c>
      <c r="C50" s="194"/>
      <c r="D50" s="194"/>
      <c r="E50" s="194"/>
      <c r="F50" s="194"/>
      <c r="G50" s="194"/>
      <c r="H50" s="194"/>
      <c r="I50" s="194"/>
    </row>
    <row r="51" spans="1:9">
      <c r="A51" s="196">
        <v>46</v>
      </c>
      <c r="B51" s="197" t="s">
        <v>311</v>
      </c>
      <c r="C51" s="194"/>
      <c r="D51" s="194"/>
      <c r="E51" s="194"/>
      <c r="F51" s="194"/>
      <c r="G51" s="194"/>
      <c r="H51" s="194"/>
      <c r="I51" s="194"/>
    </row>
    <row r="52" spans="1:9" ht="28.8">
      <c r="A52" s="196">
        <v>47</v>
      </c>
      <c r="B52" s="195" t="s">
        <v>310</v>
      </c>
      <c r="C52" s="194"/>
      <c r="D52" s="194"/>
      <c r="E52" s="194"/>
      <c r="F52" s="194"/>
      <c r="G52" s="194"/>
      <c r="H52" s="194"/>
      <c r="I52" s="194"/>
    </row>
    <row r="53" spans="1:9">
      <c r="A53" s="196">
        <v>48</v>
      </c>
      <c r="B53" s="195" t="s">
        <v>309</v>
      </c>
      <c r="C53" s="194"/>
      <c r="D53" s="194"/>
      <c r="E53" s="194"/>
      <c r="F53" s="194"/>
      <c r="G53" s="194"/>
      <c r="H53" s="194"/>
      <c r="I53" s="194"/>
    </row>
    <row r="54" spans="1:9">
      <c r="A54" s="196">
        <v>49</v>
      </c>
      <c r="B54" s="195" t="s">
        <v>308</v>
      </c>
      <c r="C54" s="194"/>
      <c r="D54" s="194"/>
      <c r="E54" s="194"/>
      <c r="F54" s="194"/>
      <c r="G54" s="194"/>
      <c r="H54" s="194"/>
      <c r="I54" s="194"/>
    </row>
    <row r="55" spans="1:9">
      <c r="A55" s="196">
        <v>50</v>
      </c>
      <c r="B55" s="198" t="s">
        <v>307</v>
      </c>
      <c r="C55" s="194"/>
      <c r="D55" s="194"/>
      <c r="E55" s="194"/>
      <c r="F55" s="194"/>
      <c r="G55" s="194"/>
      <c r="H55" s="194"/>
      <c r="I55" s="194"/>
    </row>
    <row r="56" spans="1:9">
      <c r="A56" s="196">
        <v>51</v>
      </c>
      <c r="B56" s="195" t="s">
        <v>306</v>
      </c>
      <c r="C56" s="194"/>
      <c r="D56" s="194"/>
      <c r="E56" s="194"/>
      <c r="F56" s="194"/>
      <c r="G56" s="194"/>
      <c r="H56" s="194"/>
      <c r="I56" s="194"/>
    </row>
    <row r="57" spans="1:9">
      <c r="A57" s="196">
        <v>52</v>
      </c>
      <c r="B57" s="195" t="s">
        <v>305</v>
      </c>
      <c r="C57" s="194"/>
      <c r="D57" s="194"/>
      <c r="E57" s="194"/>
      <c r="F57" s="194"/>
      <c r="G57" s="194"/>
      <c r="H57" s="194"/>
      <c r="I57" s="194"/>
    </row>
    <row r="58" spans="1:9">
      <c r="A58" s="196">
        <v>53</v>
      </c>
      <c r="B58" s="198" t="s">
        <v>304</v>
      </c>
      <c r="C58" s="194"/>
      <c r="D58" s="194"/>
      <c r="E58" s="194"/>
      <c r="F58" s="194"/>
      <c r="G58" s="194"/>
      <c r="H58" s="194"/>
      <c r="I58" s="194"/>
    </row>
    <row r="59" spans="1:9">
      <c r="A59" s="196">
        <v>54</v>
      </c>
      <c r="B59" s="195" t="s">
        <v>303</v>
      </c>
      <c r="C59" s="194"/>
      <c r="D59" s="194"/>
      <c r="E59" s="194"/>
      <c r="F59" s="194"/>
      <c r="G59" s="194"/>
      <c r="H59" s="194"/>
      <c r="I59" s="194"/>
    </row>
    <row r="60" spans="1:9">
      <c r="A60" s="196">
        <v>55</v>
      </c>
      <c r="B60" s="195" t="s">
        <v>302</v>
      </c>
      <c r="C60" s="194"/>
      <c r="D60" s="194"/>
      <c r="E60" s="194"/>
      <c r="F60" s="194"/>
      <c r="G60" s="194"/>
      <c r="H60" s="194"/>
      <c r="I60" s="194"/>
    </row>
    <row r="61" spans="1:9" ht="43.2">
      <c r="A61" s="196">
        <v>56</v>
      </c>
      <c r="B61" s="195" t="s">
        <v>301</v>
      </c>
      <c r="C61" s="194"/>
      <c r="D61" s="194"/>
      <c r="E61" s="194"/>
      <c r="F61" s="194"/>
      <c r="G61" s="194"/>
      <c r="H61" s="194"/>
      <c r="I61" s="194"/>
    </row>
    <row r="62" spans="1:9">
      <c r="A62" s="196">
        <v>57</v>
      </c>
      <c r="B62" s="195" t="s">
        <v>300</v>
      </c>
      <c r="C62" s="194"/>
      <c r="D62" s="194"/>
      <c r="E62" s="194"/>
      <c r="F62" s="194"/>
      <c r="G62" s="194"/>
      <c r="H62" s="194"/>
      <c r="I62" s="194"/>
    </row>
    <row r="63" spans="1:9" ht="28.8">
      <c r="A63" s="196">
        <v>58</v>
      </c>
      <c r="B63" s="195" t="s">
        <v>299</v>
      </c>
      <c r="C63" s="194"/>
      <c r="D63" s="194"/>
      <c r="E63" s="194"/>
      <c r="F63" s="194"/>
      <c r="G63" s="194"/>
      <c r="H63" s="194"/>
      <c r="I63" s="194"/>
    </row>
    <row r="64" spans="1:9">
      <c r="A64" s="196">
        <v>59</v>
      </c>
      <c r="B64" s="198" t="s">
        <v>298</v>
      </c>
      <c r="C64" s="194"/>
      <c r="D64" s="194"/>
      <c r="E64" s="194"/>
      <c r="F64" s="194"/>
      <c r="G64" s="194"/>
      <c r="H64" s="194"/>
      <c r="I64" s="194"/>
    </row>
    <row r="65" spans="1:9" ht="28.8">
      <c r="A65" s="196">
        <v>60</v>
      </c>
      <c r="B65" s="195" t="s">
        <v>297</v>
      </c>
      <c r="C65" s="194"/>
      <c r="D65" s="194"/>
      <c r="E65" s="194"/>
      <c r="F65" s="194"/>
      <c r="G65" s="194"/>
      <c r="H65" s="194"/>
      <c r="I65" s="194"/>
    </row>
    <row r="66" spans="1:9">
      <c r="A66" s="196">
        <v>61</v>
      </c>
      <c r="B66" s="195" t="s">
        <v>296</v>
      </c>
      <c r="C66" s="194"/>
      <c r="D66" s="194"/>
      <c r="E66" s="194"/>
      <c r="F66" s="194"/>
      <c r="G66" s="194"/>
      <c r="H66" s="194"/>
      <c r="I66" s="194"/>
    </row>
    <row r="67" spans="1:9">
      <c r="A67" s="196">
        <v>62</v>
      </c>
      <c r="B67" s="198" t="s">
        <v>295</v>
      </c>
      <c r="C67" s="194"/>
      <c r="D67" s="194"/>
      <c r="E67" s="194"/>
      <c r="F67" s="194"/>
      <c r="G67" s="194"/>
      <c r="H67" s="194"/>
      <c r="I67" s="194"/>
    </row>
    <row r="68" spans="1:9">
      <c r="A68" s="196">
        <v>63</v>
      </c>
      <c r="B68" s="195" t="s">
        <v>294</v>
      </c>
      <c r="C68" s="194"/>
      <c r="D68" s="194"/>
      <c r="E68" s="194"/>
      <c r="F68" s="194"/>
      <c r="G68" s="194"/>
      <c r="H68" s="194"/>
      <c r="I68" s="194"/>
    </row>
    <row r="69" spans="1:9">
      <c r="A69" s="196">
        <v>64</v>
      </c>
      <c r="B69" s="195" t="s">
        <v>293</v>
      </c>
      <c r="C69" s="194"/>
      <c r="D69" s="194"/>
      <c r="E69" s="194"/>
      <c r="F69" s="194"/>
      <c r="G69" s="194"/>
      <c r="H69" s="194"/>
      <c r="I69" s="194"/>
    </row>
    <row r="70" spans="1:9">
      <c r="A70" s="196">
        <v>65</v>
      </c>
      <c r="B70" s="195" t="s">
        <v>292</v>
      </c>
      <c r="C70" s="194"/>
      <c r="D70" s="194"/>
      <c r="E70" s="194"/>
      <c r="F70" s="194"/>
      <c r="G70" s="194"/>
      <c r="H70" s="194"/>
      <c r="I70" s="194"/>
    </row>
    <row r="71" spans="1:9" ht="28.8">
      <c r="A71" s="196">
        <v>66</v>
      </c>
      <c r="B71" s="203" t="s">
        <v>291</v>
      </c>
      <c r="C71" s="194"/>
      <c r="D71" s="194"/>
      <c r="E71" s="194"/>
      <c r="F71" s="194"/>
      <c r="G71" s="194"/>
      <c r="H71" s="194"/>
      <c r="I71" s="194"/>
    </row>
    <row r="72" spans="1:9">
      <c r="A72" s="196">
        <v>67</v>
      </c>
      <c r="B72" s="197" t="s">
        <v>290</v>
      </c>
      <c r="C72" s="194"/>
      <c r="D72" s="194"/>
      <c r="E72" s="194"/>
      <c r="F72" s="194"/>
      <c r="G72" s="194"/>
      <c r="H72" s="194"/>
      <c r="I72" s="194"/>
    </row>
    <row r="73" spans="1:9">
      <c r="A73" s="196">
        <v>68</v>
      </c>
      <c r="B73" s="195" t="s">
        <v>289</v>
      </c>
      <c r="C73" s="194"/>
      <c r="D73" s="194"/>
      <c r="E73" s="194"/>
      <c r="F73" s="194"/>
      <c r="G73" s="194"/>
      <c r="H73" s="194"/>
      <c r="I73" s="194"/>
    </row>
    <row r="74" spans="1:9">
      <c r="A74" s="196">
        <v>69</v>
      </c>
      <c r="B74" s="195" t="s">
        <v>288</v>
      </c>
      <c r="C74" s="194"/>
      <c r="D74" s="194"/>
      <c r="E74" s="194"/>
      <c r="F74" s="194"/>
      <c r="G74" s="194"/>
      <c r="H74" s="194"/>
      <c r="I74" s="194"/>
    </row>
    <row r="75" spans="1:9">
      <c r="A75" s="196">
        <v>70</v>
      </c>
      <c r="B75" s="195" t="s">
        <v>287</v>
      </c>
      <c r="C75" s="194"/>
      <c r="D75" s="194"/>
      <c r="E75" s="194"/>
      <c r="F75" s="194"/>
      <c r="G75" s="194"/>
      <c r="H75" s="194"/>
      <c r="I75" s="194"/>
    </row>
    <row r="76" spans="1:9">
      <c r="A76" s="196">
        <v>71</v>
      </c>
      <c r="B76" s="195" t="s">
        <v>286</v>
      </c>
      <c r="C76" s="194"/>
      <c r="D76" s="194"/>
      <c r="E76" s="194"/>
      <c r="F76" s="194"/>
      <c r="G76" s="194"/>
      <c r="H76" s="194"/>
      <c r="I76" s="194"/>
    </row>
    <row r="77" spans="1:9">
      <c r="A77" s="196">
        <v>72</v>
      </c>
      <c r="B77" s="197" t="s">
        <v>285</v>
      </c>
      <c r="C77" s="194"/>
      <c r="D77" s="194"/>
      <c r="E77" s="194"/>
      <c r="F77" s="194"/>
      <c r="G77" s="194"/>
      <c r="H77" s="194"/>
      <c r="I77" s="194"/>
    </row>
    <row r="78" spans="1:9">
      <c r="A78" s="196">
        <v>73</v>
      </c>
      <c r="B78" s="198" t="s">
        <v>284</v>
      </c>
      <c r="C78" s="194"/>
      <c r="D78" s="194"/>
      <c r="E78" s="194"/>
      <c r="F78" s="194"/>
      <c r="G78" s="194"/>
      <c r="H78" s="194"/>
      <c r="I78" s="194"/>
    </row>
    <row r="79" spans="1:9">
      <c r="A79" s="196">
        <v>74</v>
      </c>
      <c r="B79" s="195" t="s">
        <v>283</v>
      </c>
      <c r="C79" s="194"/>
      <c r="D79" s="194"/>
      <c r="E79" s="194"/>
      <c r="F79" s="194"/>
      <c r="G79" s="194"/>
      <c r="H79" s="194"/>
      <c r="I79" s="194"/>
    </row>
    <row r="80" spans="1:9">
      <c r="A80" s="196">
        <v>75</v>
      </c>
      <c r="B80" s="195" t="s">
        <v>282</v>
      </c>
      <c r="C80" s="194"/>
      <c r="D80" s="194"/>
      <c r="E80" s="194"/>
      <c r="F80" s="194"/>
      <c r="G80" s="194"/>
      <c r="H80" s="194"/>
      <c r="I80" s="194"/>
    </row>
    <row r="81" spans="1:9">
      <c r="A81" s="196">
        <v>76</v>
      </c>
      <c r="B81" s="195" t="s">
        <v>281</v>
      </c>
      <c r="C81" s="194"/>
      <c r="D81" s="194"/>
      <c r="E81" s="194"/>
      <c r="F81" s="194"/>
      <c r="G81" s="194"/>
      <c r="H81" s="194"/>
      <c r="I81" s="194"/>
    </row>
    <row r="82" spans="1:9">
      <c r="A82" s="196">
        <v>77</v>
      </c>
      <c r="B82" s="197" t="s">
        <v>280</v>
      </c>
      <c r="C82" s="194"/>
      <c r="D82" s="194"/>
      <c r="E82" s="194"/>
      <c r="F82" s="194"/>
      <c r="G82" s="194"/>
      <c r="H82" s="194"/>
      <c r="I82" s="194"/>
    </row>
    <row r="83" spans="1:9">
      <c r="A83" s="196">
        <v>78</v>
      </c>
      <c r="B83" s="202" t="s">
        <v>279</v>
      </c>
      <c r="C83" s="194"/>
      <c r="D83" s="194"/>
      <c r="E83" s="194"/>
      <c r="F83" s="194"/>
      <c r="G83" s="194"/>
      <c r="H83" s="194"/>
      <c r="I83" s="194"/>
    </row>
    <row r="84" spans="1:9">
      <c r="A84" s="196">
        <v>79</v>
      </c>
      <c r="B84" s="202" t="s">
        <v>278</v>
      </c>
      <c r="C84" s="194"/>
      <c r="D84" s="194"/>
      <c r="E84" s="194"/>
      <c r="F84" s="194"/>
      <c r="G84" s="194"/>
      <c r="H84" s="194"/>
      <c r="I84" s="194"/>
    </row>
    <row r="85" spans="1:9">
      <c r="A85" s="196">
        <v>80</v>
      </c>
      <c r="B85" s="201" t="s">
        <v>277</v>
      </c>
      <c r="C85" s="194"/>
      <c r="D85" s="194"/>
      <c r="E85" s="194"/>
      <c r="F85" s="194"/>
      <c r="G85" s="194"/>
      <c r="H85" s="194"/>
      <c r="I85" s="194"/>
    </row>
    <row r="86" spans="1:9">
      <c r="A86" s="196">
        <v>81</v>
      </c>
      <c r="B86" s="197" t="s">
        <v>276</v>
      </c>
      <c r="C86" s="194"/>
      <c r="D86" s="194"/>
      <c r="E86" s="194"/>
      <c r="F86" s="194"/>
      <c r="G86" s="194"/>
      <c r="H86" s="194"/>
      <c r="I86" s="194"/>
    </row>
    <row r="87" spans="1:9">
      <c r="A87" s="196">
        <v>82</v>
      </c>
      <c r="B87" s="200" t="s">
        <v>275</v>
      </c>
      <c r="C87" s="194"/>
      <c r="D87" s="194"/>
      <c r="E87" s="194"/>
      <c r="F87" s="194"/>
      <c r="G87" s="194"/>
      <c r="H87" s="194"/>
      <c r="I87" s="194"/>
    </row>
    <row r="88" spans="1:9" ht="28.8">
      <c r="A88" s="196">
        <v>83</v>
      </c>
      <c r="B88" s="195" t="s">
        <v>274</v>
      </c>
      <c r="C88" s="194"/>
      <c r="D88" s="194"/>
      <c r="E88" s="194"/>
      <c r="F88" s="194"/>
      <c r="G88" s="194"/>
      <c r="H88" s="194"/>
      <c r="I88" s="194"/>
    </row>
    <row r="89" spans="1:9" ht="28.8">
      <c r="A89" s="196">
        <v>84</v>
      </c>
      <c r="B89" s="195" t="s">
        <v>273</v>
      </c>
      <c r="C89" s="194"/>
      <c r="D89" s="194"/>
      <c r="E89" s="194"/>
      <c r="F89" s="194"/>
      <c r="G89" s="194"/>
      <c r="H89" s="194"/>
      <c r="I89" s="194"/>
    </row>
    <row r="90" spans="1:9">
      <c r="A90" s="196">
        <v>85</v>
      </c>
      <c r="B90" s="199" t="s">
        <v>272</v>
      </c>
      <c r="C90" s="194"/>
      <c r="D90" s="194"/>
      <c r="E90" s="194"/>
      <c r="F90" s="194"/>
      <c r="G90" s="194"/>
      <c r="H90" s="194"/>
      <c r="I90" s="194"/>
    </row>
    <row r="91" spans="1:9">
      <c r="A91" s="196">
        <v>86</v>
      </c>
      <c r="B91" s="198" t="s">
        <v>271</v>
      </c>
      <c r="C91" s="194"/>
      <c r="D91" s="194"/>
      <c r="E91" s="194"/>
      <c r="F91" s="194"/>
      <c r="G91" s="194"/>
      <c r="H91" s="194"/>
      <c r="I91" s="194"/>
    </row>
    <row r="92" spans="1:9">
      <c r="A92" s="196">
        <v>87</v>
      </c>
      <c r="B92" s="195" t="s">
        <v>270</v>
      </c>
      <c r="C92" s="194"/>
      <c r="D92" s="194"/>
      <c r="E92" s="194"/>
      <c r="F92" s="194"/>
      <c r="G92" s="194"/>
      <c r="H92" s="194"/>
      <c r="I92" s="194"/>
    </row>
    <row r="93" spans="1:9" ht="57.6">
      <c r="A93" s="196">
        <v>88</v>
      </c>
      <c r="B93" s="195" t="s">
        <v>269</v>
      </c>
      <c r="C93" s="194"/>
      <c r="D93" s="194"/>
      <c r="E93" s="194"/>
      <c r="F93" s="194"/>
      <c r="G93" s="194"/>
      <c r="H93" s="194"/>
      <c r="I93" s="194"/>
    </row>
    <row r="94" spans="1:9" ht="43.2">
      <c r="A94" s="196">
        <v>89</v>
      </c>
      <c r="B94" s="195" t="s">
        <v>268</v>
      </c>
      <c r="C94" s="194"/>
      <c r="D94" s="194"/>
      <c r="E94" s="194"/>
      <c r="F94" s="194"/>
      <c r="G94" s="194"/>
      <c r="H94" s="194"/>
      <c r="I94" s="194"/>
    </row>
    <row r="95" spans="1:9" ht="43.2">
      <c r="A95" s="196">
        <v>90</v>
      </c>
      <c r="B95" s="195" t="s">
        <v>267</v>
      </c>
      <c r="C95" s="194"/>
      <c r="D95" s="194"/>
      <c r="E95" s="194"/>
      <c r="F95" s="194"/>
      <c r="G95" s="194"/>
      <c r="H95" s="194"/>
      <c r="I95" s="194"/>
    </row>
    <row r="96" spans="1:9" ht="43.2">
      <c r="A96" s="196">
        <v>91</v>
      </c>
      <c r="B96" s="195" t="s">
        <v>266</v>
      </c>
      <c r="C96" s="194"/>
      <c r="D96" s="194"/>
      <c r="E96" s="194"/>
      <c r="F96" s="194"/>
      <c r="G96" s="194"/>
      <c r="H96" s="194"/>
      <c r="I96" s="194"/>
    </row>
    <row r="97" spans="1:9">
      <c r="A97" s="196">
        <v>92</v>
      </c>
      <c r="B97" s="195" t="s">
        <v>265</v>
      </c>
      <c r="C97" s="194"/>
      <c r="D97" s="194"/>
      <c r="E97" s="194"/>
      <c r="F97" s="194"/>
      <c r="G97" s="194"/>
      <c r="H97" s="194"/>
      <c r="I97" s="194"/>
    </row>
    <row r="98" spans="1:9" ht="28.8">
      <c r="A98" s="196">
        <v>93</v>
      </c>
      <c r="B98" s="195" t="s">
        <v>264</v>
      </c>
      <c r="C98" s="194"/>
      <c r="D98" s="194"/>
      <c r="E98" s="194"/>
      <c r="F98" s="194"/>
      <c r="G98" s="194"/>
      <c r="H98" s="194"/>
      <c r="I98" s="194"/>
    </row>
    <row r="99" spans="1:9">
      <c r="A99" s="196">
        <v>94</v>
      </c>
      <c r="B99" s="197" t="s">
        <v>263</v>
      </c>
      <c r="C99" s="194"/>
      <c r="D99" s="194"/>
      <c r="E99" s="194"/>
      <c r="F99" s="194"/>
      <c r="G99" s="194"/>
      <c r="H99" s="194"/>
      <c r="I99" s="194"/>
    </row>
    <row r="100" spans="1:9">
      <c r="A100" s="196">
        <v>95</v>
      </c>
      <c r="B100" s="195" t="s">
        <v>262</v>
      </c>
      <c r="C100" s="194"/>
      <c r="D100" s="194"/>
      <c r="E100" s="194"/>
      <c r="F100" s="194"/>
      <c r="G100" s="194"/>
      <c r="H100" s="194"/>
      <c r="I100" s="194"/>
    </row>
    <row r="101" spans="1:9">
      <c r="A101" s="196">
        <v>96</v>
      </c>
      <c r="B101" s="195" t="s">
        <v>261</v>
      </c>
      <c r="C101" s="194"/>
      <c r="D101" s="194"/>
      <c r="E101" s="194"/>
      <c r="F101" s="194"/>
      <c r="G101" s="194"/>
      <c r="H101" s="194"/>
      <c r="I101" s="194"/>
    </row>
    <row r="102" spans="1:9" ht="28.8">
      <c r="A102" s="196">
        <v>97</v>
      </c>
      <c r="B102" s="195" t="s">
        <v>260</v>
      </c>
      <c r="C102" s="194"/>
      <c r="D102" s="194"/>
      <c r="E102" s="194"/>
      <c r="F102" s="194"/>
      <c r="G102" s="194"/>
      <c r="H102" s="194"/>
      <c r="I102" s="194"/>
    </row>
    <row r="103" spans="1:9" ht="28.8">
      <c r="A103" s="196">
        <v>98</v>
      </c>
      <c r="B103" s="195" t="s">
        <v>259</v>
      </c>
      <c r="C103" s="194"/>
      <c r="D103" s="194"/>
      <c r="E103" s="194"/>
      <c r="F103" s="194"/>
      <c r="G103" s="194"/>
      <c r="H103" s="194"/>
      <c r="I103" s="194"/>
    </row>
    <row r="104" spans="1:9">
      <c r="A104" s="196">
        <v>99</v>
      </c>
      <c r="B104" s="197" t="s">
        <v>258</v>
      </c>
      <c r="C104" s="194"/>
      <c r="D104" s="194"/>
      <c r="E104" s="194"/>
      <c r="F104" s="194"/>
      <c r="G104" s="194"/>
      <c r="H104" s="194"/>
      <c r="I104" s="194"/>
    </row>
    <row r="105" spans="1:9">
      <c r="A105" s="196">
        <v>100</v>
      </c>
      <c r="B105" s="195" t="s">
        <v>257</v>
      </c>
      <c r="C105" s="194"/>
      <c r="D105" s="194"/>
      <c r="E105" s="194"/>
      <c r="F105" s="194"/>
      <c r="G105" s="194"/>
      <c r="H105" s="194"/>
      <c r="I105" s="194"/>
    </row>
    <row r="106" spans="1:9">
      <c r="A106" s="196">
        <v>101</v>
      </c>
      <c r="B106" s="195" t="s">
        <v>256</v>
      </c>
      <c r="C106" s="194"/>
      <c r="D106" s="194"/>
      <c r="E106" s="194"/>
      <c r="F106" s="194"/>
      <c r="G106" s="194"/>
      <c r="H106" s="194"/>
      <c r="I106" s="194"/>
    </row>
    <row r="107" spans="1:9">
      <c r="A107" s="196">
        <v>102</v>
      </c>
      <c r="B107" s="197" t="s">
        <v>255</v>
      </c>
      <c r="C107" s="194"/>
      <c r="D107" s="194"/>
      <c r="E107" s="194"/>
      <c r="F107" s="194"/>
      <c r="G107" s="194"/>
      <c r="H107" s="194"/>
      <c r="I107" s="194"/>
    </row>
    <row r="108" spans="1:9">
      <c r="A108" s="196">
        <v>103</v>
      </c>
      <c r="B108" s="198" t="s">
        <v>254</v>
      </c>
      <c r="C108" s="194"/>
      <c r="D108" s="194"/>
      <c r="E108" s="194"/>
      <c r="F108" s="194"/>
      <c r="G108" s="194"/>
      <c r="H108" s="194"/>
      <c r="I108" s="194"/>
    </row>
    <row r="109" spans="1:9" ht="28.8">
      <c r="A109" s="196">
        <v>104</v>
      </c>
      <c r="B109" s="195" t="s">
        <v>253</v>
      </c>
      <c r="C109" s="194"/>
      <c r="D109" s="194"/>
      <c r="E109" s="194"/>
      <c r="F109" s="194"/>
      <c r="G109" s="194"/>
      <c r="H109" s="194"/>
      <c r="I109" s="194"/>
    </row>
    <row r="110" spans="1:9">
      <c r="A110" s="196">
        <v>105</v>
      </c>
      <c r="B110" s="195" t="s">
        <v>252</v>
      </c>
      <c r="C110" s="194"/>
      <c r="D110" s="194"/>
      <c r="E110" s="194"/>
      <c r="F110" s="194"/>
      <c r="G110" s="194"/>
      <c r="H110" s="194"/>
      <c r="I110" s="194"/>
    </row>
    <row r="111" spans="1:9" ht="57.6">
      <c r="A111" s="196">
        <v>106</v>
      </c>
      <c r="B111" s="195" t="s">
        <v>251</v>
      </c>
      <c r="C111" s="194"/>
      <c r="D111" s="194"/>
      <c r="E111" s="194"/>
      <c r="F111" s="194"/>
      <c r="G111" s="194"/>
      <c r="H111" s="194"/>
      <c r="I111" s="194"/>
    </row>
    <row r="112" spans="1:9">
      <c r="A112" s="196">
        <v>107</v>
      </c>
      <c r="B112" s="195" t="s">
        <v>250</v>
      </c>
      <c r="C112" s="194"/>
      <c r="D112" s="194"/>
      <c r="E112" s="194"/>
      <c r="F112" s="194"/>
      <c r="G112" s="194"/>
      <c r="H112" s="194"/>
      <c r="I112" s="194"/>
    </row>
    <row r="113" spans="1:9">
      <c r="A113" s="196">
        <v>108</v>
      </c>
      <c r="B113" s="197" t="s">
        <v>249</v>
      </c>
      <c r="C113" s="194"/>
      <c r="D113" s="194"/>
      <c r="E113" s="194"/>
      <c r="F113" s="194"/>
      <c r="G113" s="194"/>
      <c r="H113" s="194"/>
      <c r="I113" s="194"/>
    </row>
    <row r="114" spans="1:9" ht="28.8">
      <c r="A114" s="196">
        <v>109</v>
      </c>
      <c r="B114" s="195" t="s">
        <v>248</v>
      </c>
      <c r="C114" s="194"/>
      <c r="D114" s="194"/>
      <c r="E114" s="194"/>
      <c r="F114" s="194"/>
      <c r="G114" s="194"/>
      <c r="H114" s="194"/>
      <c r="I114" s="194"/>
    </row>
    <row r="115" spans="1:9">
      <c r="A115" s="196">
        <v>110</v>
      </c>
      <c r="B115" s="195" t="s">
        <v>247</v>
      </c>
      <c r="C115" s="194"/>
      <c r="D115" s="194"/>
      <c r="E115" s="194"/>
      <c r="F115" s="194"/>
      <c r="G115" s="194"/>
      <c r="H115" s="194"/>
      <c r="I115" s="194"/>
    </row>
    <row r="116" spans="1:9" ht="43.2">
      <c r="A116" s="196">
        <v>111</v>
      </c>
      <c r="B116" s="195" t="s">
        <v>246</v>
      </c>
      <c r="C116" s="194"/>
      <c r="D116" s="194"/>
      <c r="E116" s="194"/>
      <c r="F116" s="194"/>
      <c r="G116" s="194"/>
      <c r="H116" s="194"/>
      <c r="I116" s="194"/>
    </row>
    <row r="117" spans="1:9" ht="28.8">
      <c r="A117" s="196">
        <v>112</v>
      </c>
      <c r="B117" s="195" t="s">
        <v>245</v>
      </c>
      <c r="C117" s="194"/>
      <c r="D117" s="194"/>
      <c r="E117" s="194"/>
      <c r="F117" s="194"/>
      <c r="G117" s="194"/>
      <c r="H117" s="194"/>
      <c r="I117" s="194"/>
    </row>
    <row r="118" spans="1:9" ht="28.8">
      <c r="A118" s="196">
        <v>113</v>
      </c>
      <c r="B118" s="195" t="s">
        <v>244</v>
      </c>
      <c r="C118" s="194"/>
      <c r="D118" s="194"/>
      <c r="E118" s="194"/>
      <c r="F118" s="194"/>
      <c r="G118" s="194"/>
      <c r="H118" s="194"/>
      <c r="I118" s="194"/>
    </row>
    <row r="119" spans="1:9" ht="28.8">
      <c r="A119" s="196">
        <v>114</v>
      </c>
      <c r="B119" s="195" t="s">
        <v>243</v>
      </c>
      <c r="C119" s="194"/>
      <c r="D119" s="194"/>
      <c r="E119" s="194"/>
      <c r="F119" s="194"/>
      <c r="G119" s="194"/>
      <c r="H119" s="194"/>
      <c r="I119" s="194"/>
    </row>
    <row r="120" spans="1:9" ht="43.2">
      <c r="A120" s="196">
        <v>115</v>
      </c>
      <c r="B120" s="195" t="s">
        <v>242</v>
      </c>
      <c r="C120" s="194"/>
      <c r="D120" s="194"/>
      <c r="E120" s="194"/>
      <c r="F120" s="194"/>
      <c r="G120" s="194"/>
      <c r="H120" s="194"/>
      <c r="I120" s="194"/>
    </row>
    <row r="121" spans="1:9" ht="43.2">
      <c r="A121" s="196">
        <v>116</v>
      </c>
      <c r="B121" s="195" t="s">
        <v>241</v>
      </c>
      <c r="C121" s="194"/>
      <c r="D121" s="194"/>
      <c r="E121" s="194"/>
      <c r="F121" s="194"/>
      <c r="G121" s="194"/>
      <c r="H121" s="194"/>
      <c r="I121" s="19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2"/>
  <dimension ref="B1:J11"/>
  <sheetViews>
    <sheetView workbookViewId="0">
      <selection activeCell="E12" sqref="E12"/>
    </sheetView>
  </sheetViews>
  <sheetFormatPr defaultColWidth="9" defaultRowHeight="14.4"/>
  <cols>
    <col min="2" max="2" width="16" style="80" customWidth="1"/>
    <col min="4" max="4" width="16.6640625" style="80" customWidth="1"/>
    <col min="5" max="5" width="11.6640625" style="80" customWidth="1"/>
    <col min="6" max="6" width="14.6640625" style="80" customWidth="1"/>
    <col min="7" max="7" width="17" style="80" customWidth="1"/>
    <col min="8" max="8" width="14.88671875" style="80" customWidth="1"/>
    <col min="9" max="9" width="13.5546875" style="80" customWidth="1"/>
    <col min="10" max="10" width="14.88671875" style="80" customWidth="1"/>
  </cols>
  <sheetData>
    <row r="1" spans="2:10" ht="15.6" customHeight="1">
      <c r="B1" s="86"/>
      <c r="C1" s="86"/>
      <c r="D1" s="86"/>
      <c r="E1" s="86"/>
      <c r="F1" s="86"/>
      <c r="G1" s="86"/>
      <c r="H1" s="86"/>
      <c r="I1" s="86"/>
      <c r="J1" s="57" t="s">
        <v>0</v>
      </c>
    </row>
    <row r="2" spans="2:10" ht="78.75" customHeight="1">
      <c r="B2" s="87" t="s">
        <v>1</v>
      </c>
      <c r="C2" s="87" t="s">
        <v>2</v>
      </c>
      <c r="D2" s="91"/>
      <c r="E2" s="87" t="s">
        <v>3</v>
      </c>
      <c r="F2" s="91"/>
      <c r="G2" s="87" t="s">
        <v>4</v>
      </c>
      <c r="H2" s="87" t="s">
        <v>5</v>
      </c>
      <c r="I2" s="87" t="s">
        <v>6</v>
      </c>
      <c r="J2" s="87" t="s">
        <v>7</v>
      </c>
    </row>
    <row r="3" spans="2:10" ht="15.6" customHeight="1">
      <c r="B3" s="88"/>
      <c r="C3" s="79" t="s">
        <v>8</v>
      </c>
      <c r="D3" s="79" t="s">
        <v>9</v>
      </c>
      <c r="E3" s="90" t="s">
        <v>10</v>
      </c>
      <c r="F3" s="90" t="s">
        <v>11</v>
      </c>
      <c r="G3" s="88"/>
      <c r="H3" s="88"/>
      <c r="I3" s="88"/>
      <c r="J3" s="88"/>
    </row>
    <row r="4" spans="2:10" ht="15.6" customHeight="1">
      <c r="B4" s="89"/>
      <c r="C4" s="79" t="s">
        <v>12</v>
      </c>
      <c r="D4" s="79" t="s">
        <v>13</v>
      </c>
      <c r="E4" s="89"/>
      <c r="F4" s="89"/>
      <c r="G4" s="89"/>
      <c r="H4" s="89"/>
      <c r="I4" s="89"/>
      <c r="J4" s="89"/>
    </row>
    <row r="5" spans="2:10" ht="46.8" customHeight="1">
      <c r="B5" s="62" t="s">
        <v>14</v>
      </c>
      <c r="C5" s="90">
        <v>4950000</v>
      </c>
      <c r="D5" s="90">
        <v>1825000</v>
      </c>
      <c r="E5" s="63" t="s">
        <v>15</v>
      </c>
      <c r="F5" s="79" t="s">
        <v>16</v>
      </c>
      <c r="G5" s="79">
        <v>240</v>
      </c>
      <c r="H5" s="64" t="s">
        <v>17</v>
      </c>
      <c r="I5" s="64" t="s">
        <v>17</v>
      </c>
      <c r="J5" s="79" t="s">
        <v>18</v>
      </c>
    </row>
    <row r="6" spans="2:10" ht="46.8" customHeight="1">
      <c r="B6" s="62" t="s">
        <v>19</v>
      </c>
      <c r="C6" s="88"/>
      <c r="D6" s="88"/>
      <c r="E6" s="63" t="s">
        <v>20</v>
      </c>
      <c r="F6" s="79" t="s">
        <v>16</v>
      </c>
      <c r="G6" s="79">
        <v>240</v>
      </c>
      <c r="H6" s="64" t="s">
        <v>17</v>
      </c>
      <c r="I6" s="64" t="s">
        <v>17</v>
      </c>
      <c r="J6" s="79" t="s">
        <v>18</v>
      </c>
    </row>
    <row r="7" spans="2:10" ht="46.8" customHeight="1">
      <c r="B7" s="62" t="s">
        <v>21</v>
      </c>
      <c r="C7" s="89"/>
      <c r="D7" s="89"/>
      <c r="E7" s="63" t="s">
        <v>22</v>
      </c>
      <c r="F7" s="79" t="s">
        <v>16</v>
      </c>
      <c r="G7" s="79">
        <v>300</v>
      </c>
      <c r="H7" s="64" t="s">
        <v>17</v>
      </c>
      <c r="I7" s="64" t="s">
        <v>17</v>
      </c>
      <c r="J7" s="79" t="s">
        <v>18</v>
      </c>
    </row>
    <row r="10" spans="2:10">
      <c r="D10" s="55"/>
      <c r="F10" s="55"/>
    </row>
    <row r="11" spans="2:10">
      <c r="B11" s="56"/>
      <c r="C11" s="56"/>
      <c r="D11" s="56"/>
      <c r="E11" s="56"/>
      <c r="F11" s="56"/>
      <c r="G11" s="56"/>
      <c r="H11" s="56"/>
      <c r="I11" s="56"/>
    </row>
  </sheetData>
  <mergeCells count="11">
    <mergeCell ref="J2:J4"/>
    <mergeCell ref="H2:H4"/>
    <mergeCell ref="F3:F4"/>
    <mergeCell ref="C5:C7"/>
    <mergeCell ref="B2:B4"/>
    <mergeCell ref="I2:I4"/>
    <mergeCell ref="C2:D2"/>
    <mergeCell ref="D5:D7"/>
    <mergeCell ref="E2:F2"/>
    <mergeCell ref="G2:G4"/>
    <mergeCell ref="E3:E4"/>
  </mergeCell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3"/>
  <dimension ref="A1:BH65"/>
  <sheetViews>
    <sheetView topLeftCell="A52" zoomScale="85" zoomScaleNormal="85" workbookViewId="0">
      <selection activeCell="M10" sqref="M10"/>
    </sheetView>
  </sheetViews>
  <sheetFormatPr defaultColWidth="9" defaultRowHeight="14.4"/>
  <cols>
    <col min="1" max="1" width="32" style="130" bestFit="1" customWidth="1"/>
    <col min="2" max="2" width="10.44140625" style="130" bestFit="1" customWidth="1"/>
    <col min="3" max="3" width="10.5546875" style="130" customWidth="1"/>
    <col min="4" max="4" width="17.44140625" style="130" bestFit="1" customWidth="1"/>
    <col min="5" max="5" width="8.21875" style="130" bestFit="1" customWidth="1"/>
    <col min="6" max="7" width="6.6640625" style="130" bestFit="1" customWidth="1"/>
    <col min="8" max="8" width="4.5546875" style="130" bestFit="1" customWidth="1"/>
    <col min="9" max="9" width="7.88671875" style="130" bestFit="1" customWidth="1"/>
    <col min="10" max="10" width="9" style="130" bestFit="1" customWidth="1"/>
    <col min="11" max="11" width="11" style="130" bestFit="1" customWidth="1"/>
    <col min="12" max="13" width="7.5546875" style="130" bestFit="1" customWidth="1"/>
    <col min="14" max="14" width="12.5546875" style="130" bestFit="1" customWidth="1"/>
    <col min="15" max="15" width="9.109375" style="130" customWidth="1"/>
    <col min="16" max="16" width="32" style="130" bestFit="1" customWidth="1"/>
    <col min="17" max="17" width="10.44140625" style="130" customWidth="1"/>
    <col min="18" max="18" width="10.6640625" style="130" customWidth="1"/>
    <col min="19" max="19" width="17.44140625" style="130" bestFit="1" customWidth="1"/>
    <col min="20" max="20" width="7.21875" style="130" bestFit="1" customWidth="1"/>
    <col min="21" max="22" width="6.6640625" style="130" bestFit="1" customWidth="1"/>
    <col min="23" max="23" width="4.5546875" style="130" bestFit="1" customWidth="1"/>
    <col min="24" max="24" width="7.88671875" style="130" bestFit="1" customWidth="1"/>
    <col min="25" max="25" width="9" style="130" bestFit="1" customWidth="1"/>
    <col min="26" max="26" width="8.44140625" style="130" bestFit="1" customWidth="1"/>
    <col min="27" max="27" width="7.5546875" style="130" bestFit="1" customWidth="1"/>
    <col min="28" max="28" width="9.33203125" style="130" customWidth="1"/>
    <col min="29" max="29" width="12.5546875" style="130" bestFit="1" customWidth="1"/>
    <col min="30" max="30" width="9.109375" style="130" customWidth="1"/>
    <col min="31" max="31" width="32" style="130" bestFit="1" customWidth="1"/>
    <col min="32" max="32" width="10.44140625" style="130" customWidth="1"/>
    <col min="33" max="33" width="10.6640625" style="130" customWidth="1"/>
    <col min="34" max="34" width="17.44140625" style="130" bestFit="1" customWidth="1"/>
    <col min="35" max="35" width="7.21875" style="130" bestFit="1" customWidth="1"/>
    <col min="36" max="37" width="6.6640625" style="130" bestFit="1" customWidth="1"/>
    <col min="38" max="38" width="4.5546875" style="130" bestFit="1" customWidth="1"/>
    <col min="39" max="39" width="7.88671875" style="130" bestFit="1" customWidth="1"/>
    <col min="40" max="40" width="9" style="130" bestFit="1" customWidth="1"/>
    <col min="41" max="41" width="8.44140625" style="130" bestFit="1" customWidth="1"/>
    <col min="42" max="42" width="7.5546875" style="130" bestFit="1" customWidth="1"/>
    <col min="43" max="43" width="8.44140625" style="130" customWidth="1"/>
    <col min="44" max="44" width="12.5546875" style="130" bestFit="1" customWidth="1"/>
    <col min="45" max="45" width="9.109375" style="130" customWidth="1"/>
    <col min="46" max="46" width="32" style="130" bestFit="1" customWidth="1"/>
    <col min="47" max="47" width="10.44140625" style="130" customWidth="1"/>
    <col min="48" max="48" width="10.6640625" style="130" bestFit="1" customWidth="1"/>
    <col min="49" max="49" width="17.44140625" style="130" bestFit="1" customWidth="1"/>
    <col min="50" max="50" width="8.21875" style="130" bestFit="1" customWidth="1"/>
    <col min="51" max="51" width="6.6640625" style="130" bestFit="1" customWidth="1"/>
    <col min="52" max="52" width="6.5546875" style="130" bestFit="1" customWidth="1"/>
    <col min="53" max="53" width="4.5546875" style="130" bestFit="1" customWidth="1"/>
    <col min="54" max="54" width="7.88671875" style="130" bestFit="1" customWidth="1"/>
    <col min="55" max="55" width="9" style="130" bestFit="1" customWidth="1"/>
    <col min="56" max="56" width="8.44140625" style="130" bestFit="1" customWidth="1"/>
    <col min="57" max="57" width="7.5546875" style="130" bestFit="1" customWidth="1"/>
    <col min="58" max="58" width="10.33203125" style="130" customWidth="1"/>
    <col min="59" max="59" width="12.5546875" style="130" bestFit="1" customWidth="1"/>
    <col min="60" max="61" width="9.109375" style="130" customWidth="1"/>
    <col min="62" max="65" width="9" style="130" customWidth="1"/>
    <col min="66" max="16384" width="9" style="130"/>
  </cols>
  <sheetData>
    <row r="1" spans="1:60" ht="91.8" customHeight="1">
      <c r="A1" s="128" t="s">
        <v>23</v>
      </c>
      <c r="B1" s="129"/>
      <c r="C1" s="129"/>
      <c r="D1" s="129"/>
      <c r="E1" s="129"/>
      <c r="F1" s="129"/>
      <c r="G1" s="129"/>
      <c r="H1" s="129"/>
      <c r="I1" s="129"/>
      <c r="J1" s="129"/>
      <c r="K1" s="129"/>
      <c r="L1" s="129"/>
      <c r="M1" s="129"/>
      <c r="N1" s="129"/>
      <c r="O1" s="129"/>
      <c r="P1" s="129"/>
      <c r="Q1" s="129"/>
      <c r="R1" s="129"/>
      <c r="S1" s="129"/>
      <c r="T1" s="129"/>
      <c r="U1" s="129"/>
      <c r="V1" s="129"/>
      <c r="W1" s="129"/>
      <c r="X1" s="129"/>
      <c r="Y1" s="129"/>
      <c r="Z1" s="129"/>
      <c r="AA1" s="129"/>
      <c r="AB1" s="129"/>
      <c r="AC1" s="129"/>
      <c r="AD1" s="129"/>
      <c r="AE1" s="129"/>
      <c r="AF1" s="129"/>
      <c r="AG1" s="129"/>
      <c r="AH1" s="129"/>
      <c r="AI1" s="129"/>
      <c r="AJ1" s="129"/>
      <c r="AK1" s="129"/>
      <c r="AL1" s="129"/>
      <c r="AM1" s="129"/>
      <c r="AN1" s="129"/>
      <c r="AO1" s="129"/>
      <c r="AP1" s="129"/>
      <c r="AQ1" s="129"/>
      <c r="AR1" s="129"/>
      <c r="AS1" s="129"/>
      <c r="AT1" s="129"/>
      <c r="AU1" s="129"/>
      <c r="AV1" s="129"/>
      <c r="AW1" s="129"/>
      <c r="AX1" s="129"/>
      <c r="AY1" s="129"/>
      <c r="AZ1" s="129"/>
      <c r="BA1" s="129"/>
      <c r="BB1" s="129"/>
      <c r="BC1" s="129"/>
      <c r="BD1" s="129"/>
      <c r="BE1" s="129"/>
      <c r="BF1" s="129"/>
      <c r="BG1" s="129"/>
    </row>
    <row r="2" spans="1:60" ht="18" customHeight="1">
      <c r="A2" s="131" t="s">
        <v>24</v>
      </c>
      <c r="B2" s="129"/>
      <c r="C2" s="129"/>
      <c r="D2" s="129"/>
      <c r="E2" s="129"/>
      <c r="F2" s="129"/>
      <c r="G2" s="129"/>
      <c r="H2" s="129"/>
      <c r="I2" s="129"/>
      <c r="J2" s="129"/>
      <c r="K2" s="129"/>
      <c r="L2" s="129"/>
      <c r="M2" s="129"/>
      <c r="N2" s="129"/>
      <c r="P2" s="131" t="s">
        <v>24</v>
      </c>
      <c r="Q2" s="129"/>
      <c r="R2" s="129"/>
      <c r="S2" s="129"/>
      <c r="T2" s="129"/>
      <c r="U2" s="129"/>
      <c r="V2" s="129"/>
      <c r="W2" s="129"/>
      <c r="X2" s="129"/>
      <c r="Y2" s="129"/>
      <c r="Z2" s="129"/>
      <c r="AA2" s="129"/>
      <c r="AB2" s="129"/>
      <c r="AC2" s="129"/>
      <c r="AE2" s="131" t="s">
        <v>24</v>
      </c>
      <c r="AF2" s="129"/>
      <c r="AG2" s="129"/>
      <c r="AH2" s="129"/>
      <c r="AI2" s="129"/>
      <c r="AJ2" s="129"/>
      <c r="AK2" s="129"/>
      <c r="AL2" s="129"/>
      <c r="AM2" s="129"/>
      <c r="AN2" s="129"/>
      <c r="AO2" s="129"/>
      <c r="AP2" s="129"/>
      <c r="AQ2" s="129"/>
      <c r="AR2" s="129"/>
      <c r="AT2" s="131" t="s">
        <v>24</v>
      </c>
      <c r="AU2" s="129"/>
      <c r="AV2" s="129"/>
      <c r="AW2" s="129"/>
      <c r="AX2" s="129"/>
      <c r="AY2" s="129"/>
      <c r="AZ2" s="129"/>
      <c r="BA2" s="129"/>
      <c r="BB2" s="129"/>
      <c r="BC2" s="129"/>
      <c r="BD2" s="129"/>
      <c r="BE2" s="129"/>
      <c r="BF2" s="129"/>
      <c r="BG2" s="129"/>
    </row>
    <row r="3" spans="1:60" ht="16.2" customHeight="1" thickBot="1">
      <c r="A3" s="132"/>
      <c r="B3" s="132"/>
      <c r="C3" s="132"/>
      <c r="D3" s="132"/>
      <c r="E3" s="132"/>
      <c r="F3" s="132"/>
      <c r="G3" s="132"/>
      <c r="H3" s="133"/>
      <c r="I3" s="134"/>
      <c r="J3" s="134"/>
      <c r="K3" s="134"/>
      <c r="L3" s="134"/>
      <c r="M3" s="135" t="s">
        <v>25</v>
      </c>
      <c r="N3" s="134"/>
      <c r="P3" s="136"/>
      <c r="Q3" s="136"/>
      <c r="R3" s="136"/>
      <c r="S3" s="136"/>
      <c r="T3" s="136"/>
      <c r="U3" s="136"/>
      <c r="V3" s="136"/>
      <c r="W3" s="137"/>
      <c r="X3" s="129"/>
      <c r="Y3" s="129"/>
      <c r="Z3" s="129"/>
      <c r="AA3" s="129"/>
      <c r="AB3" s="138" t="s">
        <v>25</v>
      </c>
      <c r="AC3" s="129"/>
      <c r="AE3" s="136"/>
      <c r="AF3" s="136"/>
      <c r="AG3" s="136"/>
      <c r="AH3" s="136"/>
      <c r="AI3" s="136"/>
      <c r="AJ3" s="136"/>
      <c r="AK3" s="136"/>
      <c r="AL3" s="137"/>
      <c r="AM3" s="129"/>
      <c r="AN3" s="129"/>
      <c r="AO3" s="129"/>
      <c r="AP3" s="129"/>
      <c r="AQ3" s="138" t="s">
        <v>25</v>
      </c>
      <c r="AR3" s="129"/>
      <c r="AT3" s="136"/>
      <c r="AU3" s="136"/>
      <c r="AV3" s="136"/>
      <c r="AW3" s="136"/>
      <c r="AX3" s="136"/>
      <c r="AY3" s="136"/>
      <c r="AZ3" s="136"/>
      <c r="BA3" s="137"/>
      <c r="BB3" s="129"/>
      <c r="BC3" s="129"/>
      <c r="BD3" s="129"/>
      <c r="BE3" s="129"/>
      <c r="BF3" s="138" t="s">
        <v>25</v>
      </c>
      <c r="BG3" s="129"/>
    </row>
    <row r="4" spans="1:60" ht="15.6" customHeight="1">
      <c r="A4" s="139" t="s">
        <v>26</v>
      </c>
      <c r="B4" s="140"/>
      <c r="C4" s="140"/>
      <c r="D4" s="140"/>
      <c r="E4" s="140"/>
      <c r="F4" s="140"/>
      <c r="G4" s="140"/>
      <c r="H4" s="140"/>
      <c r="I4" s="140"/>
      <c r="J4" s="140"/>
      <c r="K4" s="140"/>
      <c r="L4" s="140"/>
      <c r="M4" s="140"/>
      <c r="N4" s="141"/>
      <c r="P4" s="142" t="s">
        <v>27</v>
      </c>
      <c r="Q4" s="143"/>
      <c r="R4" s="143"/>
      <c r="S4" s="143"/>
      <c r="T4" s="143"/>
      <c r="U4" s="143"/>
      <c r="V4" s="143"/>
      <c r="W4" s="143"/>
      <c r="X4" s="143"/>
      <c r="Y4" s="143"/>
      <c r="Z4" s="143"/>
      <c r="AA4" s="143"/>
      <c r="AB4" s="143"/>
      <c r="AC4" s="144"/>
      <c r="AE4" s="142" t="s">
        <v>28</v>
      </c>
      <c r="AF4" s="191"/>
      <c r="AG4" s="191"/>
      <c r="AH4" s="191"/>
      <c r="AI4" s="191"/>
      <c r="AJ4" s="191"/>
      <c r="AK4" s="191"/>
      <c r="AL4" s="191"/>
      <c r="AM4" s="191"/>
      <c r="AN4" s="191"/>
      <c r="AO4" s="191"/>
      <c r="AP4" s="191"/>
      <c r="AQ4" s="191"/>
      <c r="AR4" s="191"/>
      <c r="AT4" s="142" t="s">
        <v>29</v>
      </c>
      <c r="AU4" s="191"/>
      <c r="AV4" s="191"/>
      <c r="AW4" s="191"/>
      <c r="AX4" s="191"/>
      <c r="AY4" s="191"/>
      <c r="AZ4" s="191"/>
      <c r="BA4" s="191"/>
      <c r="BB4" s="191"/>
      <c r="BC4" s="191"/>
      <c r="BD4" s="191"/>
      <c r="BE4" s="191"/>
      <c r="BF4" s="191"/>
      <c r="BG4" s="191"/>
      <c r="BH4" s="145"/>
    </row>
    <row r="5" spans="1:60" ht="15.6" customHeight="1">
      <c r="A5" s="146" t="s">
        <v>30</v>
      </c>
      <c r="B5" s="147" t="s">
        <v>31</v>
      </c>
      <c r="C5" s="144"/>
      <c r="D5" s="147" t="s">
        <v>32</v>
      </c>
      <c r="E5" s="148" t="s">
        <v>33</v>
      </c>
      <c r="F5" s="147" t="s">
        <v>34</v>
      </c>
      <c r="G5" s="146" t="s">
        <v>35</v>
      </c>
      <c r="H5" s="146" t="s">
        <v>36</v>
      </c>
      <c r="I5" s="143"/>
      <c r="J5" s="143"/>
      <c r="K5" s="143"/>
      <c r="L5" s="144"/>
      <c r="M5" s="147" t="s">
        <v>37</v>
      </c>
      <c r="N5" s="147" t="s">
        <v>7</v>
      </c>
      <c r="P5" s="146" t="s">
        <v>30</v>
      </c>
      <c r="Q5" s="147" t="s">
        <v>31</v>
      </c>
      <c r="R5" s="144"/>
      <c r="S5" s="147" t="s">
        <v>32</v>
      </c>
      <c r="T5" s="148" t="s">
        <v>33</v>
      </c>
      <c r="U5" s="147" t="s">
        <v>34</v>
      </c>
      <c r="V5" s="146" t="s">
        <v>35</v>
      </c>
      <c r="W5" s="146" t="s">
        <v>36</v>
      </c>
      <c r="X5" s="143"/>
      <c r="Y5" s="143"/>
      <c r="Z5" s="143"/>
      <c r="AA5" s="144"/>
      <c r="AB5" s="147" t="s">
        <v>37</v>
      </c>
      <c r="AC5" s="147" t="s">
        <v>7</v>
      </c>
      <c r="AE5" s="146" t="s">
        <v>30</v>
      </c>
      <c r="AF5" s="147" t="s">
        <v>31</v>
      </c>
      <c r="AG5" s="191"/>
      <c r="AH5" s="147" t="s">
        <v>32</v>
      </c>
      <c r="AI5" s="148" t="s">
        <v>33</v>
      </c>
      <c r="AJ5" s="147" t="s">
        <v>34</v>
      </c>
      <c r="AK5" s="146" t="s">
        <v>35</v>
      </c>
      <c r="AL5" s="146" t="s">
        <v>36</v>
      </c>
      <c r="AM5" s="191"/>
      <c r="AN5" s="191"/>
      <c r="AO5" s="191"/>
      <c r="AP5" s="191"/>
      <c r="AQ5" s="147" t="s">
        <v>37</v>
      </c>
      <c r="AR5" s="147" t="s">
        <v>7</v>
      </c>
      <c r="AT5" s="146" t="s">
        <v>30</v>
      </c>
      <c r="AU5" s="147" t="s">
        <v>31</v>
      </c>
      <c r="AV5" s="191"/>
      <c r="AW5" s="147" t="s">
        <v>32</v>
      </c>
      <c r="AX5" s="148" t="s">
        <v>33</v>
      </c>
      <c r="AY5" s="147" t="s">
        <v>34</v>
      </c>
      <c r="AZ5" s="146" t="s">
        <v>35</v>
      </c>
      <c r="BA5" s="146" t="s">
        <v>36</v>
      </c>
      <c r="BB5" s="191"/>
      <c r="BC5" s="191"/>
      <c r="BD5" s="191"/>
      <c r="BE5" s="191"/>
      <c r="BF5" s="147" t="s">
        <v>37</v>
      </c>
      <c r="BG5" s="147" t="s">
        <v>7</v>
      </c>
    </row>
    <row r="6" spans="1:60" ht="72" customHeight="1">
      <c r="A6" s="149"/>
      <c r="B6" s="150" t="s">
        <v>38</v>
      </c>
      <c r="C6" s="150" t="s">
        <v>39</v>
      </c>
      <c r="D6" s="151"/>
      <c r="E6" s="151"/>
      <c r="F6" s="151"/>
      <c r="G6" s="151"/>
      <c r="H6" s="150" t="s">
        <v>40</v>
      </c>
      <c r="I6" s="150" t="s">
        <v>41</v>
      </c>
      <c r="J6" s="150" t="s">
        <v>42</v>
      </c>
      <c r="K6" s="152" t="s">
        <v>43</v>
      </c>
      <c r="L6" s="152" t="s">
        <v>44</v>
      </c>
      <c r="M6" s="151"/>
      <c r="N6" s="149"/>
      <c r="P6" s="149"/>
      <c r="Q6" s="150" t="s">
        <v>38</v>
      </c>
      <c r="R6" s="150" t="s">
        <v>39</v>
      </c>
      <c r="S6" s="151"/>
      <c r="T6" s="151"/>
      <c r="U6" s="151"/>
      <c r="V6" s="151"/>
      <c r="W6" s="150" t="s">
        <v>40</v>
      </c>
      <c r="X6" s="150" t="s">
        <v>41</v>
      </c>
      <c r="Y6" s="150" t="s">
        <v>42</v>
      </c>
      <c r="Z6" s="152" t="s">
        <v>43</v>
      </c>
      <c r="AA6" s="152" t="s">
        <v>44</v>
      </c>
      <c r="AB6" s="151"/>
      <c r="AC6" s="149"/>
      <c r="AE6" s="191"/>
      <c r="AF6" s="150" t="s">
        <v>38</v>
      </c>
      <c r="AG6" s="150" t="s">
        <v>39</v>
      </c>
      <c r="AH6" s="191"/>
      <c r="AI6" s="191"/>
      <c r="AJ6" s="191"/>
      <c r="AK6" s="191"/>
      <c r="AL6" s="150" t="s">
        <v>40</v>
      </c>
      <c r="AM6" s="150" t="s">
        <v>41</v>
      </c>
      <c r="AN6" s="150" t="s">
        <v>42</v>
      </c>
      <c r="AO6" s="152" t="s">
        <v>43</v>
      </c>
      <c r="AP6" s="152" t="s">
        <v>44</v>
      </c>
      <c r="AQ6" s="191"/>
      <c r="AR6" s="191"/>
      <c r="AT6" s="191"/>
      <c r="AU6" s="150" t="s">
        <v>38</v>
      </c>
      <c r="AV6" s="150" t="s">
        <v>39</v>
      </c>
      <c r="AW6" s="191"/>
      <c r="AX6" s="191"/>
      <c r="AY6" s="191"/>
      <c r="AZ6" s="191"/>
      <c r="BA6" s="150" t="s">
        <v>40</v>
      </c>
      <c r="BB6" s="150" t="s">
        <v>41</v>
      </c>
      <c r="BC6" s="150" t="s">
        <v>42</v>
      </c>
      <c r="BD6" s="152" t="s">
        <v>43</v>
      </c>
      <c r="BE6" s="152" t="s">
        <v>44</v>
      </c>
      <c r="BF6" s="191"/>
      <c r="BG6" s="191"/>
    </row>
    <row r="7" spans="1:60" ht="31.2" customHeight="1">
      <c r="A7" s="151"/>
      <c r="B7" s="150" t="s">
        <v>45</v>
      </c>
      <c r="C7" s="150" t="s">
        <v>46</v>
      </c>
      <c r="D7" s="153" t="s">
        <v>47</v>
      </c>
      <c r="E7" s="152" t="s">
        <v>48</v>
      </c>
      <c r="F7" s="150" t="s">
        <v>49</v>
      </c>
      <c r="G7" s="150" t="s">
        <v>49</v>
      </c>
      <c r="H7" s="142" t="s">
        <v>49</v>
      </c>
      <c r="I7" s="143"/>
      <c r="J7" s="143"/>
      <c r="K7" s="143"/>
      <c r="L7" s="144"/>
      <c r="M7" s="152" t="s">
        <v>50</v>
      </c>
      <c r="N7" s="151"/>
      <c r="P7" s="151"/>
      <c r="Q7" s="150" t="s">
        <v>45</v>
      </c>
      <c r="R7" s="150" t="s">
        <v>46</v>
      </c>
      <c r="S7" s="153" t="s">
        <v>47</v>
      </c>
      <c r="T7" s="152" t="s">
        <v>48</v>
      </c>
      <c r="U7" s="150" t="s">
        <v>49</v>
      </c>
      <c r="V7" s="150" t="s">
        <v>49</v>
      </c>
      <c r="W7" s="142" t="s">
        <v>49</v>
      </c>
      <c r="X7" s="143"/>
      <c r="Y7" s="143"/>
      <c r="Z7" s="143"/>
      <c r="AA7" s="144"/>
      <c r="AB7" s="152" t="s">
        <v>50</v>
      </c>
      <c r="AC7" s="151"/>
      <c r="AE7" s="191"/>
      <c r="AF7" s="150" t="s">
        <v>45</v>
      </c>
      <c r="AG7" s="150" t="s">
        <v>46</v>
      </c>
      <c r="AH7" s="153" t="s">
        <v>47</v>
      </c>
      <c r="AI7" s="152" t="s">
        <v>48</v>
      </c>
      <c r="AJ7" s="150" t="s">
        <v>49</v>
      </c>
      <c r="AK7" s="150" t="s">
        <v>49</v>
      </c>
      <c r="AL7" s="142" t="s">
        <v>49</v>
      </c>
      <c r="AM7" s="191"/>
      <c r="AN7" s="191"/>
      <c r="AO7" s="191"/>
      <c r="AP7" s="191"/>
      <c r="AQ7" s="152" t="s">
        <v>50</v>
      </c>
      <c r="AR7" s="191"/>
      <c r="AT7" s="191"/>
      <c r="AU7" s="150" t="s">
        <v>45</v>
      </c>
      <c r="AV7" s="150" t="s">
        <v>46</v>
      </c>
      <c r="AW7" s="153" t="s">
        <v>47</v>
      </c>
      <c r="AX7" s="152" t="s">
        <v>48</v>
      </c>
      <c r="AY7" s="150" t="s">
        <v>49</v>
      </c>
      <c r="AZ7" s="150" t="s">
        <v>49</v>
      </c>
      <c r="BA7" s="142" t="s">
        <v>49</v>
      </c>
      <c r="BB7" s="191"/>
      <c r="BC7" s="191"/>
      <c r="BD7" s="191"/>
      <c r="BE7" s="191"/>
      <c r="BF7" s="152" t="s">
        <v>50</v>
      </c>
      <c r="BG7" s="191"/>
    </row>
    <row r="8" spans="1:60" ht="28.8" customHeight="1">
      <c r="A8" s="152" t="s">
        <v>51</v>
      </c>
      <c r="B8" s="154">
        <v>1200000</v>
      </c>
      <c r="C8" s="155">
        <v>441600</v>
      </c>
      <c r="D8" s="155"/>
      <c r="E8" s="156"/>
      <c r="F8" s="157"/>
      <c r="G8" s="157"/>
      <c r="H8" s="157"/>
      <c r="I8" s="157"/>
      <c r="J8" s="157"/>
      <c r="K8" s="157"/>
      <c r="L8" s="157"/>
      <c r="M8" s="158"/>
      <c r="N8" s="157"/>
      <c r="P8" s="152" t="s">
        <v>51</v>
      </c>
      <c r="Q8" s="154">
        <v>1200000</v>
      </c>
      <c r="R8" s="155">
        <v>441600</v>
      </c>
      <c r="S8" s="155"/>
      <c r="T8" s="156"/>
      <c r="U8" s="159"/>
      <c r="V8" s="159"/>
      <c r="W8" s="159"/>
      <c r="X8" s="159"/>
      <c r="Y8" s="159"/>
      <c r="Z8" s="159"/>
      <c r="AA8" s="159"/>
      <c r="AB8" s="156"/>
      <c r="AC8" s="159"/>
      <c r="AE8" s="152" t="s">
        <v>51</v>
      </c>
      <c r="AF8" s="154">
        <v>1200000</v>
      </c>
      <c r="AG8" s="155">
        <v>441600</v>
      </c>
      <c r="AH8" s="155"/>
      <c r="AI8" s="153"/>
      <c r="AJ8" s="150"/>
      <c r="AK8" s="150"/>
      <c r="AL8" s="150"/>
      <c r="AM8" s="150"/>
      <c r="AN8" s="150"/>
      <c r="AO8" s="150"/>
      <c r="AP8" s="150"/>
      <c r="AQ8" s="153"/>
      <c r="AR8" s="150"/>
      <c r="AT8" s="152" t="s">
        <v>51</v>
      </c>
      <c r="AU8" s="154">
        <v>1350000</v>
      </c>
      <c r="AV8" s="155">
        <v>500200</v>
      </c>
      <c r="AW8" s="155"/>
      <c r="AX8" s="156"/>
      <c r="AY8" s="159"/>
      <c r="AZ8" s="159"/>
      <c r="BA8" s="159"/>
      <c r="BB8" s="159"/>
      <c r="BC8" s="159"/>
      <c r="BD8" s="159"/>
      <c r="BE8" s="159"/>
      <c r="BF8" s="156"/>
      <c r="BG8" s="159"/>
      <c r="BH8" s="160"/>
    </row>
    <row r="9" spans="1:60" ht="15.6" customHeight="1">
      <c r="A9" s="161" t="s">
        <v>52</v>
      </c>
      <c r="B9" s="162"/>
      <c r="C9" s="144"/>
      <c r="D9" s="158"/>
      <c r="E9" s="156"/>
      <c r="F9" s="157"/>
      <c r="G9" s="157"/>
      <c r="H9" s="156"/>
      <c r="I9" s="156"/>
      <c r="J9" s="156"/>
      <c r="K9" s="156"/>
      <c r="L9" s="156"/>
      <c r="M9" s="156"/>
      <c r="N9" s="163"/>
      <c r="P9" s="161" t="s">
        <v>52</v>
      </c>
      <c r="Q9" s="162"/>
      <c r="R9" s="144"/>
      <c r="S9" s="156"/>
      <c r="T9" s="156"/>
      <c r="U9" s="156"/>
      <c r="V9" s="156"/>
      <c r="W9" s="156"/>
      <c r="X9" s="156"/>
      <c r="Y9" s="156"/>
      <c r="Z9" s="156"/>
      <c r="AA9" s="156"/>
      <c r="AB9" s="156"/>
      <c r="AC9" s="164"/>
      <c r="AE9" s="161" t="s">
        <v>52</v>
      </c>
      <c r="AF9" s="142"/>
      <c r="AG9" s="191"/>
      <c r="AH9" s="153"/>
      <c r="AI9" s="150"/>
      <c r="AJ9" s="150"/>
      <c r="AK9" s="150"/>
      <c r="AL9" s="150"/>
      <c r="AM9" s="150"/>
      <c r="AN9" s="150"/>
      <c r="AO9" s="150"/>
      <c r="AP9" s="150"/>
      <c r="AQ9" s="153"/>
      <c r="AR9" s="165"/>
      <c r="AT9" s="161" t="s">
        <v>52</v>
      </c>
      <c r="AU9" s="162"/>
      <c r="AV9" s="191"/>
      <c r="AW9" s="156"/>
      <c r="AX9" s="159"/>
      <c r="AY9" s="159"/>
      <c r="AZ9" s="159"/>
      <c r="BA9" s="159"/>
      <c r="BB9" s="159"/>
      <c r="BC9" s="159"/>
      <c r="BD9" s="159"/>
      <c r="BE9" s="159"/>
      <c r="BF9" s="156"/>
      <c r="BG9" s="159"/>
      <c r="BH9" s="160"/>
    </row>
    <row r="10" spans="1:60" ht="28.8" customHeight="1">
      <c r="A10" s="152" t="s">
        <v>53</v>
      </c>
      <c r="B10" s="155">
        <v>1012524</v>
      </c>
      <c r="C10" s="166"/>
      <c r="D10" s="167"/>
      <c r="E10" s="168">
        <v>15.667</v>
      </c>
      <c r="F10" s="168"/>
      <c r="G10" s="157"/>
      <c r="H10" s="157"/>
      <c r="I10" s="157"/>
      <c r="J10" s="157"/>
      <c r="K10" s="157">
        <v>1575</v>
      </c>
      <c r="M10" s="158">
        <v>2400</v>
      </c>
      <c r="N10" s="157"/>
      <c r="P10" s="152" t="s">
        <v>53</v>
      </c>
      <c r="Q10" s="169">
        <v>917947</v>
      </c>
      <c r="R10" s="166"/>
      <c r="S10" s="156"/>
      <c r="T10" s="168">
        <v>3.7360000000000002</v>
      </c>
      <c r="U10" s="168"/>
      <c r="V10" s="159"/>
      <c r="W10" s="157"/>
      <c r="X10" s="159"/>
      <c r="Y10" s="159"/>
      <c r="Z10" s="157">
        <v>1575</v>
      </c>
      <c r="AA10" s="156"/>
      <c r="AB10" s="158">
        <v>2400</v>
      </c>
      <c r="AC10" s="159"/>
      <c r="AE10" s="152" t="s">
        <v>53</v>
      </c>
      <c r="AF10" s="155">
        <v>1112517</v>
      </c>
      <c r="AG10" s="176"/>
      <c r="AH10" s="153"/>
      <c r="AI10" s="153">
        <v>2.4870000000000001</v>
      </c>
      <c r="AJ10" s="153"/>
      <c r="AK10" s="150"/>
      <c r="AL10" s="150"/>
      <c r="AM10" s="150"/>
      <c r="AN10" s="150"/>
      <c r="AO10" s="157">
        <v>1575</v>
      </c>
      <c r="AP10" s="156"/>
      <c r="AQ10" s="153">
        <v>2675</v>
      </c>
      <c r="AR10" s="150"/>
      <c r="AT10" s="152" t="s">
        <v>53</v>
      </c>
      <c r="AU10" s="155">
        <v>1046423</v>
      </c>
      <c r="AV10" s="176"/>
      <c r="AW10" s="167"/>
      <c r="AX10" s="168">
        <v>9.0210000000000008</v>
      </c>
      <c r="AY10" s="168"/>
      <c r="AZ10" s="159"/>
      <c r="BA10" s="157"/>
      <c r="BB10" s="159"/>
      <c r="BC10" s="159"/>
      <c r="BD10" s="157">
        <v>1575</v>
      </c>
      <c r="BE10" s="156"/>
      <c r="BF10" s="156">
        <v>2400</v>
      </c>
      <c r="BG10" s="159"/>
      <c r="BH10" s="160"/>
    </row>
    <row r="11" spans="1:60" ht="15.6" customHeight="1">
      <c r="A11" s="170" t="s">
        <v>54</v>
      </c>
      <c r="B11" s="155">
        <v>795615</v>
      </c>
      <c r="C11" s="166"/>
      <c r="D11" s="167"/>
      <c r="E11" s="156"/>
      <c r="F11" s="157"/>
      <c r="G11" s="157"/>
      <c r="H11" s="157"/>
      <c r="I11" s="157"/>
      <c r="J11" s="157"/>
      <c r="K11" s="157"/>
      <c r="L11" s="157"/>
      <c r="M11" s="158"/>
      <c r="N11" s="157"/>
      <c r="P11" s="170" t="s">
        <v>54</v>
      </c>
      <c r="Q11" s="155">
        <v>721299</v>
      </c>
      <c r="R11" s="166"/>
      <c r="S11" s="156"/>
      <c r="T11" s="156"/>
      <c r="U11" s="159"/>
      <c r="V11" s="159"/>
      <c r="W11" s="159"/>
      <c r="X11" s="159"/>
      <c r="Y11" s="159"/>
      <c r="Z11" s="159"/>
      <c r="AA11" s="156"/>
      <c r="AB11" s="156"/>
      <c r="AC11" s="159"/>
      <c r="AE11" s="170" t="s">
        <v>54</v>
      </c>
      <c r="AF11" s="155">
        <v>874187</v>
      </c>
      <c r="AG11" s="176"/>
      <c r="AH11" s="153"/>
      <c r="AI11" s="153"/>
      <c r="AJ11" s="150"/>
      <c r="AK11" s="150"/>
      <c r="AL11" s="150"/>
      <c r="AM11" s="150"/>
      <c r="AN11" s="150"/>
      <c r="AO11" s="150"/>
      <c r="AP11" s="156"/>
      <c r="AQ11" s="156"/>
      <c r="AR11" s="150"/>
      <c r="AT11" s="170" t="s">
        <v>54</v>
      </c>
      <c r="AU11" s="155">
        <v>822252</v>
      </c>
      <c r="AV11" s="176"/>
      <c r="AW11" s="167"/>
      <c r="AX11" s="156"/>
      <c r="AY11" s="159"/>
      <c r="AZ11" s="159"/>
      <c r="BA11" s="159"/>
      <c r="BB11" s="159"/>
      <c r="BC11" s="159"/>
      <c r="BD11" s="159"/>
      <c r="BE11" s="156"/>
      <c r="BF11" s="156"/>
      <c r="BG11" s="159"/>
    </row>
    <row r="12" spans="1:60" ht="15.6" customHeight="1">
      <c r="A12" s="170" t="s">
        <v>55</v>
      </c>
      <c r="B12" s="155">
        <v>20250</v>
      </c>
      <c r="C12" s="166"/>
      <c r="D12" s="167"/>
      <c r="E12" s="168">
        <v>1.296</v>
      </c>
      <c r="F12" s="168"/>
      <c r="G12" s="157"/>
      <c r="H12" s="157"/>
      <c r="I12" s="157"/>
      <c r="J12" s="157"/>
      <c r="K12" s="157">
        <v>1575</v>
      </c>
      <c r="M12" s="158">
        <v>2400</v>
      </c>
      <c r="N12" s="157"/>
      <c r="P12" s="170" t="s">
        <v>55</v>
      </c>
      <c r="Q12" s="155">
        <v>18359</v>
      </c>
      <c r="R12" s="166"/>
      <c r="S12" s="156"/>
      <c r="T12" s="168">
        <v>1.296</v>
      </c>
      <c r="U12" s="168"/>
      <c r="V12" s="159"/>
      <c r="W12" s="171"/>
      <c r="X12" s="171"/>
      <c r="Y12" s="171"/>
      <c r="Z12" s="157">
        <v>1575</v>
      </c>
      <c r="AA12" s="156"/>
      <c r="AB12" s="158">
        <v>2400</v>
      </c>
      <c r="AC12" s="159"/>
      <c r="AE12" s="170" t="s">
        <v>55</v>
      </c>
      <c r="AF12" s="155">
        <v>22250</v>
      </c>
      <c r="AG12" s="176"/>
      <c r="AH12" s="153"/>
      <c r="AI12" s="153">
        <v>1.296</v>
      </c>
      <c r="AJ12" s="150"/>
      <c r="AK12" s="150"/>
      <c r="AL12" s="150"/>
      <c r="AM12" s="150"/>
      <c r="AN12" s="150"/>
      <c r="AO12" s="157">
        <v>1575</v>
      </c>
      <c r="AP12" s="156"/>
      <c r="AQ12" s="153">
        <v>2675</v>
      </c>
      <c r="AR12" s="150"/>
      <c r="AT12" s="170" t="s">
        <v>55</v>
      </c>
      <c r="AU12" s="155">
        <v>20928</v>
      </c>
      <c r="AV12" s="176"/>
      <c r="AW12" s="167"/>
      <c r="AX12" s="168">
        <v>1.296</v>
      </c>
      <c r="AY12" s="168"/>
      <c r="AZ12" s="159"/>
      <c r="BA12" s="159"/>
      <c r="BB12" s="159"/>
      <c r="BC12" s="159"/>
      <c r="BD12" s="157">
        <v>1575</v>
      </c>
      <c r="BE12" s="156"/>
      <c r="BF12" s="157">
        <v>1575</v>
      </c>
      <c r="BG12" s="159"/>
    </row>
    <row r="13" spans="1:60" ht="15.6" customHeight="1">
      <c r="A13" s="170" t="s">
        <v>56</v>
      </c>
      <c r="B13" s="155">
        <v>186358</v>
      </c>
      <c r="C13" s="166"/>
      <c r="D13" s="167"/>
      <c r="E13" s="156"/>
      <c r="F13" s="157"/>
      <c r="G13" s="157"/>
      <c r="H13" s="157"/>
      <c r="I13" s="157"/>
      <c r="J13" s="157"/>
      <c r="K13" s="157"/>
      <c r="L13" s="157"/>
      <c r="M13" s="158"/>
      <c r="N13" s="157"/>
      <c r="P13" s="170" t="s">
        <v>56</v>
      </c>
      <c r="Q13" s="155">
        <v>168950</v>
      </c>
      <c r="R13" s="166"/>
      <c r="S13" s="156"/>
      <c r="T13" s="156"/>
      <c r="U13" s="159"/>
      <c r="V13" s="159"/>
      <c r="W13" s="159"/>
      <c r="X13" s="159"/>
      <c r="Y13" s="159"/>
      <c r="Z13" s="159"/>
      <c r="AA13" s="159"/>
      <c r="AB13" s="158"/>
      <c r="AC13" s="159"/>
      <c r="AE13" s="170" t="s">
        <v>56</v>
      </c>
      <c r="AF13" s="155">
        <v>204762</v>
      </c>
      <c r="AG13" s="176"/>
      <c r="AH13" s="153"/>
      <c r="AI13" s="153"/>
      <c r="AJ13" s="150"/>
      <c r="AK13" s="150"/>
      <c r="AL13" s="150"/>
      <c r="AM13" s="150"/>
      <c r="AN13" s="150"/>
      <c r="AO13" s="150"/>
      <c r="AP13" s="150"/>
      <c r="AQ13" s="153"/>
      <c r="AR13" s="150"/>
      <c r="AT13" s="170" t="s">
        <v>56</v>
      </c>
      <c r="AU13" s="155">
        <v>192597</v>
      </c>
      <c r="AV13" s="176"/>
      <c r="AW13" s="167"/>
      <c r="AX13" s="156"/>
      <c r="AY13" s="159"/>
      <c r="AZ13" s="159"/>
      <c r="BA13" s="159"/>
      <c r="BB13" s="159"/>
      <c r="BC13" s="159"/>
      <c r="BD13" s="159"/>
      <c r="BE13" s="159"/>
      <c r="BF13" s="156"/>
      <c r="BG13" s="159"/>
    </row>
    <row r="14" spans="1:60" ht="30.6" customHeight="1">
      <c r="A14" s="170" t="s">
        <v>57</v>
      </c>
      <c r="B14" s="155">
        <v>10301</v>
      </c>
      <c r="C14" s="166"/>
      <c r="D14" s="167"/>
      <c r="E14" s="168">
        <v>14.371</v>
      </c>
      <c r="F14" s="168"/>
      <c r="G14" s="157"/>
      <c r="H14" s="157"/>
      <c r="I14" s="157"/>
      <c r="J14" s="157"/>
      <c r="K14" s="157"/>
      <c r="L14" s="157"/>
      <c r="M14" s="158"/>
      <c r="N14" s="157"/>
      <c r="P14" s="170" t="s">
        <v>57</v>
      </c>
      <c r="Q14" s="155">
        <v>9339</v>
      </c>
      <c r="R14" s="166"/>
      <c r="S14" s="156"/>
      <c r="T14" s="168">
        <v>2.44</v>
      </c>
      <c r="U14" s="168"/>
      <c r="V14" s="159"/>
      <c r="W14" s="172"/>
      <c r="X14" s="159"/>
      <c r="Y14" s="159"/>
      <c r="Z14" s="159"/>
      <c r="AA14" s="159"/>
      <c r="AB14" s="158"/>
      <c r="AC14" s="159"/>
      <c r="AE14" s="170" t="s">
        <v>57</v>
      </c>
      <c r="AF14" s="155">
        <v>11318</v>
      </c>
      <c r="AG14" s="176"/>
      <c r="AH14" s="153"/>
      <c r="AI14" s="153">
        <v>1.1910000000000001</v>
      </c>
      <c r="AJ14" s="150"/>
      <c r="AK14" s="150"/>
      <c r="AL14" s="159"/>
      <c r="AM14" s="150"/>
      <c r="AN14" s="150"/>
      <c r="AO14" s="150"/>
      <c r="AP14" s="150"/>
      <c r="AQ14" s="153"/>
      <c r="AR14" s="150"/>
      <c r="AT14" s="170" t="s">
        <v>57</v>
      </c>
      <c r="AU14" s="155">
        <v>10646</v>
      </c>
      <c r="AV14" s="176"/>
      <c r="AW14" s="167"/>
      <c r="AX14" s="168">
        <v>7.7249999999999996</v>
      </c>
      <c r="AY14" s="168"/>
      <c r="AZ14" s="159"/>
      <c r="BA14" s="159"/>
      <c r="BB14" s="159"/>
      <c r="BC14" s="159"/>
      <c r="BD14" s="159"/>
      <c r="BE14" s="159"/>
      <c r="BF14" s="156"/>
      <c r="BG14" s="159"/>
    </row>
    <row r="15" spans="1:60" ht="46.8" customHeight="1">
      <c r="A15" s="150" t="s">
        <v>58</v>
      </c>
      <c r="B15" s="173">
        <f>B11+B13</f>
        <v>981973</v>
      </c>
      <c r="C15" s="166"/>
      <c r="D15" s="174"/>
      <c r="E15" s="158">
        <f>E11+E13</f>
        <v>0</v>
      </c>
      <c r="F15" s="157"/>
      <c r="G15" s="157"/>
      <c r="H15" s="157"/>
      <c r="I15" s="157"/>
      <c r="J15" s="157"/>
      <c r="K15" s="158">
        <f>K11+K13</f>
        <v>0</v>
      </c>
      <c r="L15" s="157"/>
      <c r="M15" s="158">
        <f>M11+M13</f>
        <v>0</v>
      </c>
      <c r="N15" s="157"/>
      <c r="P15" s="150" t="s">
        <v>58</v>
      </c>
      <c r="Q15" s="173">
        <f>Q11+Q13</f>
        <v>890249</v>
      </c>
      <c r="R15" s="166"/>
      <c r="S15" s="156"/>
      <c r="T15" s="158">
        <f>T11+T13</f>
        <v>0</v>
      </c>
      <c r="U15" s="159"/>
      <c r="V15" s="159"/>
      <c r="W15" s="159"/>
      <c r="X15" s="159"/>
      <c r="Y15" s="159"/>
      <c r="Z15" s="158">
        <f>Z11+Z13</f>
        <v>0</v>
      </c>
      <c r="AA15" s="159"/>
      <c r="AB15" s="158">
        <f>AB11+AB13</f>
        <v>0</v>
      </c>
      <c r="AC15" s="159"/>
      <c r="AE15" s="150" t="s">
        <v>58</v>
      </c>
      <c r="AF15" s="175">
        <f>AF11+AF13</f>
        <v>1078949</v>
      </c>
      <c r="AG15" s="176"/>
      <c r="AH15" s="153"/>
      <c r="AI15" s="158">
        <f>AI11+AI13</f>
        <v>0</v>
      </c>
      <c r="AJ15" s="150"/>
      <c r="AK15" s="150"/>
      <c r="AL15" s="150"/>
      <c r="AM15" s="150"/>
      <c r="AN15" s="150"/>
      <c r="AO15" s="158">
        <f>AO11+AO13</f>
        <v>0</v>
      </c>
      <c r="AP15" s="150"/>
      <c r="AQ15" s="158">
        <f>AQ11+AQ13</f>
        <v>0</v>
      </c>
      <c r="AR15" s="150"/>
      <c r="AT15" s="150" t="s">
        <v>58</v>
      </c>
      <c r="AU15" s="173">
        <f>AU11+AU13</f>
        <v>1014849</v>
      </c>
      <c r="AV15" s="176"/>
      <c r="AW15" s="174"/>
      <c r="AX15" s="158">
        <f>AX11+AX13</f>
        <v>0</v>
      </c>
      <c r="AY15" s="159"/>
      <c r="AZ15" s="159"/>
      <c r="BA15" s="159"/>
      <c r="BB15" s="159"/>
      <c r="BC15" s="159"/>
      <c r="BD15" s="158">
        <f>BD11+BD13</f>
        <v>0</v>
      </c>
      <c r="BE15" s="159"/>
      <c r="BF15" s="158">
        <f>BF11+BF13</f>
        <v>0</v>
      </c>
      <c r="BG15" s="159"/>
    </row>
    <row r="16" spans="1:60" ht="15.6" customHeight="1">
      <c r="A16" s="152" t="s">
        <v>59</v>
      </c>
      <c r="B16" s="142"/>
      <c r="C16" s="144"/>
      <c r="D16" s="158"/>
      <c r="E16" s="158"/>
      <c r="F16" s="157"/>
      <c r="G16" s="157"/>
      <c r="H16" s="157"/>
      <c r="I16" s="157"/>
      <c r="J16" s="157"/>
      <c r="K16" s="157"/>
      <c r="L16" s="157"/>
      <c r="M16" s="158"/>
      <c r="N16" s="157"/>
      <c r="P16" s="152" t="s">
        <v>59</v>
      </c>
      <c r="Q16" s="142"/>
      <c r="R16" s="144"/>
      <c r="S16" s="153"/>
      <c r="T16" s="153"/>
      <c r="U16" s="150"/>
      <c r="V16" s="150"/>
      <c r="W16" s="150"/>
      <c r="X16" s="150"/>
      <c r="Y16" s="150"/>
      <c r="Z16" s="150"/>
      <c r="AA16" s="150"/>
      <c r="AB16" s="153"/>
      <c r="AC16" s="150"/>
      <c r="AE16" s="152" t="s">
        <v>59</v>
      </c>
      <c r="AF16" s="142"/>
      <c r="AG16" s="191"/>
      <c r="AH16" s="153"/>
      <c r="AI16" s="153"/>
      <c r="AJ16" s="150"/>
      <c r="AK16" s="150"/>
      <c r="AL16" s="150"/>
      <c r="AM16" s="150"/>
      <c r="AN16" s="150"/>
      <c r="AO16" s="150"/>
      <c r="AP16" s="150"/>
      <c r="AQ16" s="153"/>
      <c r="AR16" s="150"/>
      <c r="AT16" s="152" t="s">
        <v>59</v>
      </c>
      <c r="AU16" s="142"/>
      <c r="AV16" s="191"/>
      <c r="AW16" s="153"/>
      <c r="AX16" s="153"/>
      <c r="AY16" s="150"/>
      <c r="AZ16" s="150"/>
      <c r="BA16" s="150"/>
      <c r="BB16" s="150"/>
      <c r="BC16" s="150"/>
      <c r="BD16" s="150"/>
      <c r="BE16" s="150"/>
      <c r="BF16" s="153"/>
      <c r="BG16" s="150"/>
    </row>
    <row r="17" spans="1:59" ht="15.6" customHeight="1">
      <c r="A17" s="152" t="s">
        <v>60</v>
      </c>
      <c r="B17" s="176">
        <v>456574</v>
      </c>
      <c r="C17" s="176"/>
      <c r="D17" s="158"/>
      <c r="E17" s="158"/>
      <c r="F17" s="157"/>
      <c r="G17" s="157"/>
      <c r="H17" s="157"/>
      <c r="I17" s="157"/>
      <c r="J17" s="157"/>
      <c r="K17" s="157"/>
      <c r="L17" s="157"/>
      <c r="M17" s="158"/>
      <c r="N17" s="157"/>
      <c r="P17" s="152" t="s">
        <v>60</v>
      </c>
      <c r="Q17" s="150">
        <v>470864</v>
      </c>
      <c r="R17" s="176"/>
      <c r="S17" s="153"/>
      <c r="T17" s="153"/>
      <c r="U17" s="150"/>
      <c r="V17" s="150"/>
      <c r="W17" s="150"/>
      <c r="X17" s="150"/>
      <c r="Y17" s="150"/>
      <c r="Z17" s="150"/>
      <c r="AA17" s="150"/>
      <c r="AB17" s="153"/>
      <c r="AC17" s="150"/>
      <c r="AE17" s="152" t="s">
        <v>60</v>
      </c>
      <c r="AF17" s="150">
        <v>278481</v>
      </c>
      <c r="AG17" s="176"/>
      <c r="AH17" s="153"/>
      <c r="AI17" s="153"/>
      <c r="AJ17" s="150"/>
      <c r="AK17" s="150"/>
      <c r="AL17" s="150"/>
      <c r="AM17" s="150"/>
      <c r="AN17" s="150"/>
      <c r="AO17" s="150"/>
      <c r="AP17" s="150"/>
      <c r="AQ17" s="153"/>
      <c r="AR17" s="150"/>
      <c r="AT17" s="152" t="s">
        <v>60</v>
      </c>
      <c r="AU17" s="150">
        <v>340620</v>
      </c>
      <c r="AV17" s="176"/>
      <c r="AW17" s="153"/>
      <c r="AX17" s="153"/>
      <c r="AY17" s="150"/>
      <c r="AZ17" s="150"/>
      <c r="BA17" s="150"/>
      <c r="BB17" s="150"/>
      <c r="BC17" s="150"/>
      <c r="BD17" s="150"/>
      <c r="BE17" s="150"/>
      <c r="BF17" s="153"/>
      <c r="BG17" s="150"/>
    </row>
    <row r="18" spans="1:59" ht="15.6" customHeight="1">
      <c r="A18" s="179" t="s">
        <v>61</v>
      </c>
      <c r="B18" s="176">
        <v>291633</v>
      </c>
      <c r="C18" s="176"/>
      <c r="D18" s="158"/>
      <c r="E18" s="158"/>
      <c r="F18" s="157"/>
      <c r="G18" s="157"/>
      <c r="H18" s="157"/>
      <c r="I18" s="157"/>
      <c r="J18" s="157"/>
      <c r="K18" s="157"/>
      <c r="L18" s="157"/>
      <c r="M18" s="158"/>
      <c r="N18" s="157"/>
      <c r="P18" s="179" t="s">
        <v>61</v>
      </c>
      <c r="Q18" s="150">
        <v>121145</v>
      </c>
      <c r="R18" s="176"/>
      <c r="S18" s="153"/>
      <c r="T18" s="153"/>
      <c r="U18" s="150"/>
      <c r="V18" s="150"/>
      <c r="W18" s="150"/>
      <c r="X18" s="150"/>
      <c r="Y18" s="150"/>
      <c r="Z18" s="150"/>
      <c r="AA18" s="150"/>
      <c r="AB18" s="153"/>
      <c r="AC18" s="150"/>
      <c r="AE18" s="179" t="s">
        <v>61</v>
      </c>
      <c r="AF18" s="150">
        <v>53092</v>
      </c>
      <c r="AG18" s="176"/>
      <c r="AH18" s="153"/>
      <c r="AI18" s="153"/>
      <c r="AJ18" s="150"/>
      <c r="AK18" s="150"/>
      <c r="AL18" s="150"/>
      <c r="AM18" s="150"/>
      <c r="AN18" s="150"/>
      <c r="AO18" s="150"/>
      <c r="AP18" s="150"/>
      <c r="AQ18" s="153"/>
      <c r="AR18" s="150"/>
      <c r="AT18" s="179" t="s">
        <v>61</v>
      </c>
      <c r="AU18" s="150">
        <v>41910</v>
      </c>
      <c r="AV18" s="176"/>
      <c r="AW18" s="153"/>
      <c r="AX18" s="153"/>
      <c r="AY18" s="150"/>
      <c r="AZ18" s="150"/>
      <c r="BA18" s="150"/>
      <c r="BB18" s="150"/>
      <c r="BC18" s="150"/>
      <c r="BD18" s="150"/>
      <c r="BE18" s="150"/>
      <c r="BF18" s="153"/>
      <c r="BG18" s="150"/>
    </row>
    <row r="19" spans="1:59" ht="15.6" customHeight="1">
      <c r="A19" s="152" t="s">
        <v>62</v>
      </c>
      <c r="B19" s="176">
        <v>8739</v>
      </c>
      <c r="C19" s="176"/>
      <c r="D19" s="158"/>
      <c r="E19" s="158"/>
      <c r="F19" s="157"/>
      <c r="G19" s="157"/>
      <c r="H19" s="157"/>
      <c r="I19" s="157"/>
      <c r="J19" s="157"/>
      <c r="K19" s="157"/>
      <c r="L19" s="157"/>
      <c r="M19" s="158"/>
      <c r="N19" s="157"/>
      <c r="P19" s="152" t="s">
        <v>62</v>
      </c>
      <c r="Q19" s="150">
        <v>191047</v>
      </c>
      <c r="R19" s="176"/>
      <c r="S19" s="153"/>
      <c r="T19" s="153"/>
      <c r="U19" s="150"/>
      <c r="V19" s="150"/>
      <c r="W19" s="150"/>
      <c r="X19" s="150"/>
      <c r="Y19" s="150"/>
      <c r="Z19" s="150"/>
      <c r="AA19" s="150"/>
      <c r="AB19" s="153"/>
      <c r="AC19" s="150"/>
      <c r="AE19" s="152" t="s">
        <v>62</v>
      </c>
      <c r="AF19" s="150">
        <v>281331</v>
      </c>
      <c r="AG19" s="176"/>
      <c r="AH19" s="153"/>
      <c r="AI19" s="153"/>
      <c r="AJ19" s="150"/>
      <c r="AK19" s="150"/>
      <c r="AL19" s="150"/>
      <c r="AM19" s="150"/>
      <c r="AN19" s="150"/>
      <c r="AO19" s="150"/>
      <c r="AP19" s="150"/>
      <c r="AQ19" s="153"/>
      <c r="AR19" s="150"/>
      <c r="AT19" s="152" t="s">
        <v>62</v>
      </c>
      <c r="AU19" s="150">
        <v>505878</v>
      </c>
      <c r="AV19" s="176"/>
      <c r="AW19" s="153"/>
      <c r="AX19" s="153"/>
      <c r="AY19" s="150"/>
      <c r="AZ19" s="150"/>
      <c r="BA19" s="150"/>
      <c r="BB19" s="150"/>
      <c r="BC19" s="150"/>
      <c r="BD19" s="150"/>
      <c r="BE19" s="150"/>
      <c r="BF19" s="153"/>
      <c r="BG19" s="150"/>
    </row>
    <row r="20" spans="1:59" ht="15.6" customHeight="1">
      <c r="A20" s="152" t="s">
        <v>63</v>
      </c>
      <c r="B20" s="176">
        <v>50336</v>
      </c>
      <c r="C20" s="176"/>
      <c r="D20" s="158"/>
      <c r="E20" s="158"/>
      <c r="F20" s="157"/>
      <c r="G20" s="157"/>
      <c r="H20" s="157"/>
      <c r="I20" s="157"/>
      <c r="J20" s="157"/>
      <c r="K20" s="157"/>
      <c r="L20" s="157"/>
      <c r="M20" s="158"/>
      <c r="N20" s="157"/>
      <c r="P20" s="152" t="s">
        <v>63</v>
      </c>
      <c r="Q20" s="150">
        <v>168385</v>
      </c>
      <c r="R20" s="176"/>
      <c r="S20" s="153"/>
      <c r="T20" s="153"/>
      <c r="U20" s="150"/>
      <c r="V20" s="150"/>
      <c r="W20" s="150"/>
      <c r="X20" s="150"/>
      <c r="Y20" s="150"/>
      <c r="Z20" s="150"/>
      <c r="AA20" s="150"/>
      <c r="AB20" s="153"/>
      <c r="AC20" s="150"/>
      <c r="AE20" s="152" t="s">
        <v>63</v>
      </c>
      <c r="AF20" s="150">
        <v>132349</v>
      </c>
      <c r="AG20" s="176"/>
      <c r="AH20" s="153"/>
      <c r="AI20" s="153"/>
      <c r="AJ20" s="150"/>
      <c r="AK20" s="150"/>
      <c r="AL20" s="150"/>
      <c r="AM20" s="150"/>
      <c r="AN20" s="150"/>
      <c r="AO20" s="150"/>
      <c r="AP20" s="150"/>
      <c r="AQ20" s="153"/>
      <c r="AR20" s="150"/>
      <c r="AT20" s="152" t="s">
        <v>63</v>
      </c>
      <c r="AU20" s="150">
        <v>121206</v>
      </c>
      <c r="AV20" s="176"/>
      <c r="AW20" s="153"/>
      <c r="AX20" s="153"/>
      <c r="AY20" s="150"/>
      <c r="AZ20" s="150"/>
      <c r="BA20" s="150"/>
      <c r="BB20" s="150"/>
      <c r="BC20" s="150"/>
      <c r="BD20" s="150"/>
      <c r="BE20" s="150"/>
      <c r="BF20" s="153"/>
      <c r="BG20" s="150"/>
    </row>
    <row r="21" spans="1:59" ht="15.6" customHeight="1">
      <c r="A21" s="152" t="s">
        <v>64</v>
      </c>
      <c r="B21" s="176">
        <v>104556</v>
      </c>
      <c r="C21" s="176"/>
      <c r="D21" s="158"/>
      <c r="E21" s="158"/>
      <c r="F21" s="157"/>
      <c r="G21" s="157"/>
      <c r="H21" s="157"/>
      <c r="I21" s="157"/>
      <c r="J21" s="157"/>
      <c r="K21" s="157"/>
      <c r="L21" s="157"/>
      <c r="M21" s="158"/>
      <c r="N21" s="157"/>
      <c r="P21" s="152" t="s">
        <v>64</v>
      </c>
      <c r="Q21" s="150">
        <v>96222</v>
      </c>
      <c r="R21" s="176"/>
      <c r="S21" s="153"/>
      <c r="T21" s="153"/>
      <c r="U21" s="150"/>
      <c r="V21" s="150"/>
      <c r="W21" s="150"/>
      <c r="X21" s="150"/>
      <c r="Y21" s="150"/>
      <c r="Z21" s="150"/>
      <c r="AA21" s="150"/>
      <c r="AB21" s="153"/>
      <c r="AC21" s="150"/>
      <c r="AE21" s="152" t="s">
        <v>64</v>
      </c>
      <c r="AF21" s="150">
        <v>90982</v>
      </c>
      <c r="AG21" s="176"/>
      <c r="AH21" s="153"/>
      <c r="AI21" s="153"/>
      <c r="AJ21" s="150"/>
      <c r="AK21" s="150"/>
      <c r="AL21" s="150"/>
      <c r="AM21" s="150"/>
      <c r="AN21" s="150"/>
      <c r="AO21" s="150"/>
      <c r="AP21" s="150"/>
      <c r="AQ21" s="153"/>
      <c r="AR21" s="150"/>
      <c r="AT21" s="152" t="s">
        <v>64</v>
      </c>
      <c r="AU21" s="150">
        <v>118319</v>
      </c>
      <c r="AV21" s="176"/>
      <c r="AW21" s="153"/>
      <c r="AX21" s="153"/>
      <c r="AY21" s="150"/>
      <c r="AZ21" s="150"/>
      <c r="BA21" s="150"/>
      <c r="BB21" s="150"/>
      <c r="BC21" s="150"/>
      <c r="BD21" s="150"/>
      <c r="BE21" s="150"/>
      <c r="BF21" s="153"/>
      <c r="BG21" s="150"/>
    </row>
    <row r="22" spans="1:59" ht="15.6" customHeight="1">
      <c r="A22" s="177"/>
      <c r="D22" s="180"/>
      <c r="E22" s="180"/>
      <c r="F22" s="181"/>
      <c r="G22" s="181"/>
      <c r="H22" s="181"/>
      <c r="I22" s="181"/>
      <c r="J22" s="181"/>
      <c r="K22" s="181"/>
      <c r="L22" s="181"/>
      <c r="M22" s="180"/>
      <c r="N22" s="181"/>
      <c r="P22" s="177"/>
      <c r="Q22" s="136"/>
      <c r="S22" s="178"/>
      <c r="T22" s="178"/>
      <c r="U22" s="136"/>
      <c r="V22" s="136"/>
      <c r="W22" s="136"/>
      <c r="X22" s="136"/>
      <c r="Y22" s="136"/>
      <c r="Z22" s="136"/>
      <c r="AA22" s="136"/>
      <c r="AB22" s="178"/>
      <c r="AC22" s="136"/>
      <c r="AE22" s="177"/>
      <c r="AF22" s="136"/>
      <c r="AH22" s="178"/>
      <c r="AI22" s="178"/>
      <c r="AJ22" s="136"/>
      <c r="AK22" s="136"/>
      <c r="AL22" s="136"/>
      <c r="AM22" s="136"/>
      <c r="AN22" s="136"/>
      <c r="AO22" s="136"/>
      <c r="AP22" s="136"/>
      <c r="AQ22" s="178"/>
      <c r="AR22" s="136"/>
      <c r="AT22" s="177"/>
      <c r="AU22" s="136"/>
      <c r="AW22" s="178"/>
      <c r="AX22" s="178"/>
      <c r="AY22" s="136"/>
      <c r="AZ22" s="136"/>
      <c r="BA22" s="136"/>
      <c r="BB22" s="136"/>
      <c r="BC22" s="136"/>
      <c r="BD22" s="136"/>
      <c r="BE22" s="136"/>
      <c r="BF22" s="178"/>
      <c r="BG22" s="136"/>
    </row>
    <row r="23" spans="1:59" ht="91.8" customHeight="1">
      <c r="A23" s="128" t="s">
        <v>65</v>
      </c>
      <c r="B23" s="129"/>
      <c r="C23" s="129"/>
      <c r="D23" s="129"/>
      <c r="E23" s="129"/>
      <c r="F23" s="129"/>
      <c r="G23" s="129"/>
      <c r="H23" s="129"/>
      <c r="I23" s="129"/>
      <c r="J23" s="129"/>
      <c r="K23" s="129"/>
      <c r="L23" s="129"/>
      <c r="M23" s="129"/>
      <c r="N23" s="129"/>
      <c r="O23" s="129"/>
      <c r="P23" s="129"/>
      <c r="Q23" s="129"/>
      <c r="R23" s="129"/>
      <c r="S23" s="129"/>
      <c r="T23" s="129"/>
      <c r="U23" s="129"/>
      <c r="V23" s="129"/>
      <c r="W23" s="129"/>
      <c r="X23" s="129"/>
      <c r="Y23" s="129"/>
      <c r="Z23" s="129"/>
      <c r="AA23" s="129"/>
      <c r="AB23" s="129"/>
      <c r="AC23" s="129"/>
      <c r="AD23" s="129"/>
      <c r="AE23" s="129"/>
      <c r="AF23" s="129"/>
      <c r="AG23" s="129"/>
      <c r="AH23" s="129"/>
      <c r="AI23" s="129"/>
      <c r="AJ23" s="129"/>
      <c r="AK23" s="129"/>
      <c r="AL23" s="129"/>
      <c r="AM23" s="129"/>
      <c r="AN23" s="129"/>
      <c r="AO23" s="129"/>
      <c r="AP23" s="129"/>
      <c r="AQ23" s="129"/>
      <c r="AR23" s="129"/>
      <c r="AS23" s="129"/>
      <c r="AT23" s="129"/>
      <c r="AU23" s="129"/>
      <c r="AV23" s="129"/>
      <c r="AW23" s="129"/>
      <c r="AX23" s="129"/>
      <c r="AY23" s="129"/>
      <c r="AZ23" s="129"/>
      <c r="BA23" s="129"/>
      <c r="BB23" s="129"/>
      <c r="BC23" s="129"/>
      <c r="BD23" s="129"/>
      <c r="BE23" s="129"/>
      <c r="BF23" s="129"/>
      <c r="BG23" s="129"/>
    </row>
    <row r="24" spans="1:59" ht="18" customHeight="1">
      <c r="A24" s="131" t="s">
        <v>24</v>
      </c>
      <c r="B24" s="129"/>
      <c r="C24" s="129"/>
      <c r="D24" s="129"/>
      <c r="E24" s="129"/>
      <c r="F24" s="129"/>
      <c r="G24" s="129"/>
      <c r="H24" s="129"/>
      <c r="I24" s="129"/>
      <c r="J24" s="129"/>
      <c r="K24" s="129"/>
      <c r="L24" s="129"/>
      <c r="M24" s="129"/>
      <c r="N24" s="129"/>
      <c r="P24" s="131" t="s">
        <v>24</v>
      </c>
      <c r="Q24" s="129"/>
      <c r="R24" s="129"/>
      <c r="S24" s="129"/>
      <c r="T24" s="129"/>
      <c r="U24" s="129"/>
      <c r="V24" s="129"/>
      <c r="W24" s="129"/>
      <c r="X24" s="129"/>
      <c r="Y24" s="129"/>
      <c r="Z24" s="129"/>
      <c r="AA24" s="129"/>
      <c r="AB24" s="129"/>
      <c r="AC24" s="129"/>
      <c r="AE24" s="131" t="s">
        <v>24</v>
      </c>
      <c r="AF24" s="129"/>
      <c r="AG24" s="129"/>
      <c r="AH24" s="129"/>
      <c r="AI24" s="129"/>
      <c r="AJ24" s="129"/>
      <c r="AK24" s="129"/>
      <c r="AL24" s="129"/>
      <c r="AM24" s="129"/>
      <c r="AN24" s="129"/>
      <c r="AO24" s="129"/>
      <c r="AP24" s="129"/>
      <c r="AQ24" s="129"/>
      <c r="AR24" s="129"/>
      <c r="AT24" s="131" t="s">
        <v>24</v>
      </c>
      <c r="AU24" s="129"/>
      <c r="AV24" s="129"/>
      <c r="AW24" s="129"/>
      <c r="AX24" s="129"/>
      <c r="AY24" s="129"/>
      <c r="AZ24" s="129"/>
      <c r="BA24" s="129"/>
      <c r="BB24" s="129"/>
      <c r="BC24" s="129"/>
      <c r="BD24" s="129"/>
      <c r="BE24" s="129"/>
      <c r="BF24" s="129"/>
      <c r="BG24" s="129"/>
    </row>
    <row r="25" spans="1:59" ht="16.2" customHeight="1">
      <c r="A25" s="187"/>
      <c r="B25" s="187"/>
      <c r="C25" s="187"/>
      <c r="D25" s="187"/>
      <c r="E25" s="187"/>
      <c r="F25" s="187"/>
      <c r="G25" s="187"/>
      <c r="H25" s="188"/>
      <c r="I25" s="189"/>
      <c r="J25" s="189"/>
      <c r="K25" s="189"/>
      <c r="L25" s="189"/>
      <c r="M25" s="190" t="s">
        <v>25</v>
      </c>
      <c r="N25" s="189"/>
      <c r="P25" s="136"/>
      <c r="Q25" s="136"/>
      <c r="R25" s="136"/>
      <c r="S25" s="136"/>
      <c r="T25" s="136"/>
      <c r="U25" s="136"/>
      <c r="V25" s="136"/>
      <c r="W25" s="137"/>
      <c r="X25" s="129"/>
      <c r="Y25" s="129"/>
      <c r="Z25" s="129"/>
      <c r="AA25" s="129"/>
      <c r="AB25" s="138" t="s">
        <v>25</v>
      </c>
      <c r="AC25" s="129"/>
      <c r="AE25" s="187"/>
      <c r="AF25" s="187"/>
      <c r="AG25" s="187"/>
      <c r="AH25" s="187"/>
      <c r="AI25" s="187"/>
      <c r="AJ25" s="187"/>
      <c r="AK25" s="187"/>
      <c r="AL25" s="188"/>
      <c r="AM25" s="189"/>
      <c r="AN25" s="189"/>
      <c r="AO25" s="189"/>
      <c r="AP25" s="189"/>
      <c r="AQ25" s="190" t="s">
        <v>25</v>
      </c>
      <c r="AR25" s="189"/>
      <c r="AT25" s="136"/>
      <c r="AU25" s="136"/>
      <c r="AV25" s="136"/>
      <c r="AW25" s="136"/>
      <c r="AX25" s="136"/>
      <c r="AY25" s="136"/>
      <c r="AZ25" s="136"/>
      <c r="BA25" s="137"/>
      <c r="BB25" s="129"/>
      <c r="BC25" s="129"/>
      <c r="BD25" s="129"/>
      <c r="BE25" s="129"/>
      <c r="BF25" s="138" t="s">
        <v>25</v>
      </c>
      <c r="BG25" s="129"/>
    </row>
    <row r="26" spans="1:59" ht="15.6" customHeight="1">
      <c r="A26" s="142" t="s">
        <v>66</v>
      </c>
      <c r="B26" s="191"/>
      <c r="C26" s="191"/>
      <c r="D26" s="191"/>
      <c r="E26" s="191"/>
      <c r="F26" s="191"/>
      <c r="G26" s="191"/>
      <c r="H26" s="191"/>
      <c r="I26" s="191"/>
      <c r="J26" s="191"/>
      <c r="K26" s="191"/>
      <c r="L26" s="191"/>
      <c r="M26" s="191"/>
      <c r="N26" s="191"/>
      <c r="P26" s="142" t="s">
        <v>67</v>
      </c>
      <c r="Q26" s="191"/>
      <c r="R26" s="191"/>
      <c r="S26" s="191"/>
      <c r="T26" s="191"/>
      <c r="U26" s="191"/>
      <c r="V26" s="191"/>
      <c r="W26" s="191"/>
      <c r="X26" s="191"/>
      <c r="Y26" s="191"/>
      <c r="Z26" s="191"/>
      <c r="AA26" s="191"/>
      <c r="AB26" s="191"/>
      <c r="AC26" s="191"/>
      <c r="AE26" s="142" t="s">
        <v>68</v>
      </c>
      <c r="AF26" s="191"/>
      <c r="AG26" s="191"/>
      <c r="AH26" s="191"/>
      <c r="AI26" s="191"/>
      <c r="AJ26" s="191"/>
      <c r="AK26" s="191"/>
      <c r="AL26" s="191"/>
      <c r="AM26" s="191"/>
      <c r="AN26" s="191"/>
      <c r="AO26" s="191"/>
      <c r="AP26" s="191"/>
      <c r="AQ26" s="191"/>
      <c r="AR26" s="191"/>
      <c r="AT26" s="142" t="s">
        <v>69</v>
      </c>
      <c r="AU26" s="143"/>
      <c r="AV26" s="143"/>
      <c r="AW26" s="143"/>
      <c r="AX26" s="143"/>
      <c r="AY26" s="143"/>
      <c r="AZ26" s="143"/>
      <c r="BA26" s="143"/>
      <c r="BB26" s="143"/>
      <c r="BC26" s="143"/>
      <c r="BD26" s="143"/>
      <c r="BE26" s="143"/>
      <c r="BF26" s="143"/>
      <c r="BG26" s="144"/>
    </row>
    <row r="27" spans="1:59" ht="15.6" customHeight="1">
      <c r="A27" s="146" t="s">
        <v>30</v>
      </c>
      <c r="B27" s="147" t="s">
        <v>31</v>
      </c>
      <c r="C27" s="191"/>
      <c r="D27" s="147" t="s">
        <v>32</v>
      </c>
      <c r="E27" s="148" t="s">
        <v>33</v>
      </c>
      <c r="F27" s="147" t="s">
        <v>34</v>
      </c>
      <c r="G27" s="146" t="s">
        <v>35</v>
      </c>
      <c r="H27" s="146" t="s">
        <v>36</v>
      </c>
      <c r="I27" s="191"/>
      <c r="J27" s="191"/>
      <c r="K27" s="191"/>
      <c r="L27" s="191"/>
      <c r="M27" s="147" t="s">
        <v>37</v>
      </c>
      <c r="N27" s="147" t="s">
        <v>7</v>
      </c>
      <c r="P27" s="146" t="s">
        <v>30</v>
      </c>
      <c r="Q27" s="147" t="s">
        <v>31</v>
      </c>
      <c r="R27" s="191"/>
      <c r="S27" s="147" t="s">
        <v>32</v>
      </c>
      <c r="T27" s="148" t="s">
        <v>33</v>
      </c>
      <c r="U27" s="147" t="s">
        <v>34</v>
      </c>
      <c r="V27" s="146" t="s">
        <v>35</v>
      </c>
      <c r="W27" s="146" t="s">
        <v>36</v>
      </c>
      <c r="X27" s="191"/>
      <c r="Y27" s="191"/>
      <c r="Z27" s="191"/>
      <c r="AA27" s="191"/>
      <c r="AB27" s="147" t="s">
        <v>37</v>
      </c>
      <c r="AC27" s="147" t="s">
        <v>7</v>
      </c>
      <c r="AE27" s="146" t="s">
        <v>30</v>
      </c>
      <c r="AF27" s="147" t="s">
        <v>31</v>
      </c>
      <c r="AG27" s="191"/>
      <c r="AH27" s="147" t="s">
        <v>32</v>
      </c>
      <c r="AI27" s="148" t="s">
        <v>33</v>
      </c>
      <c r="AJ27" s="147" t="s">
        <v>34</v>
      </c>
      <c r="AK27" s="146" t="s">
        <v>35</v>
      </c>
      <c r="AL27" s="146" t="s">
        <v>36</v>
      </c>
      <c r="AM27" s="191"/>
      <c r="AN27" s="191"/>
      <c r="AO27" s="191"/>
      <c r="AP27" s="191"/>
      <c r="AQ27" s="147" t="s">
        <v>37</v>
      </c>
      <c r="AR27" s="147" t="s">
        <v>7</v>
      </c>
      <c r="AT27" s="146" t="s">
        <v>30</v>
      </c>
      <c r="AU27" s="147" t="s">
        <v>31</v>
      </c>
      <c r="AV27" s="191"/>
      <c r="AW27" s="147" t="s">
        <v>32</v>
      </c>
      <c r="AX27" s="148" t="s">
        <v>33</v>
      </c>
      <c r="AY27" s="147" t="s">
        <v>34</v>
      </c>
      <c r="AZ27" s="146" t="s">
        <v>35</v>
      </c>
      <c r="BA27" s="146" t="s">
        <v>36</v>
      </c>
      <c r="BB27" s="191"/>
      <c r="BC27" s="191"/>
      <c r="BD27" s="191"/>
      <c r="BE27" s="191"/>
      <c r="BF27" s="147" t="s">
        <v>37</v>
      </c>
      <c r="BG27" s="147" t="s">
        <v>7</v>
      </c>
    </row>
    <row r="28" spans="1:59" ht="72" customHeight="1">
      <c r="A28" s="191"/>
      <c r="B28" s="150" t="s">
        <v>38</v>
      </c>
      <c r="C28" s="150" t="s">
        <v>39</v>
      </c>
      <c r="D28" s="191"/>
      <c r="E28" s="191"/>
      <c r="F28" s="191"/>
      <c r="G28" s="191"/>
      <c r="H28" s="150" t="s">
        <v>40</v>
      </c>
      <c r="I28" s="150" t="s">
        <v>41</v>
      </c>
      <c r="J28" s="150" t="s">
        <v>42</v>
      </c>
      <c r="K28" s="152" t="s">
        <v>43</v>
      </c>
      <c r="L28" s="152" t="s">
        <v>44</v>
      </c>
      <c r="M28" s="191"/>
      <c r="N28" s="191"/>
      <c r="P28" s="191"/>
      <c r="Q28" s="150" t="s">
        <v>38</v>
      </c>
      <c r="R28" s="150" t="s">
        <v>39</v>
      </c>
      <c r="S28" s="191"/>
      <c r="T28" s="191"/>
      <c r="U28" s="191"/>
      <c r="V28" s="191"/>
      <c r="W28" s="150" t="s">
        <v>40</v>
      </c>
      <c r="X28" s="150" t="s">
        <v>41</v>
      </c>
      <c r="Y28" s="150" t="s">
        <v>42</v>
      </c>
      <c r="Z28" s="152" t="s">
        <v>43</v>
      </c>
      <c r="AA28" s="152" t="s">
        <v>44</v>
      </c>
      <c r="AB28" s="191"/>
      <c r="AC28" s="191"/>
      <c r="AE28" s="191"/>
      <c r="AF28" s="150" t="s">
        <v>38</v>
      </c>
      <c r="AG28" s="150" t="s">
        <v>39</v>
      </c>
      <c r="AH28" s="191"/>
      <c r="AI28" s="191"/>
      <c r="AJ28" s="191"/>
      <c r="AK28" s="191"/>
      <c r="AL28" s="150" t="s">
        <v>40</v>
      </c>
      <c r="AM28" s="150" t="s">
        <v>41</v>
      </c>
      <c r="AN28" s="150" t="s">
        <v>42</v>
      </c>
      <c r="AO28" s="152" t="s">
        <v>43</v>
      </c>
      <c r="AP28" s="152" t="s">
        <v>44</v>
      </c>
      <c r="AQ28" s="191"/>
      <c r="AR28" s="191"/>
      <c r="AT28" s="191"/>
      <c r="AU28" s="150" t="s">
        <v>38</v>
      </c>
      <c r="AV28" s="150" t="s">
        <v>39</v>
      </c>
      <c r="AW28" s="191"/>
      <c r="AX28" s="191"/>
      <c r="AY28" s="191"/>
      <c r="AZ28" s="191"/>
      <c r="BA28" s="150" t="s">
        <v>40</v>
      </c>
      <c r="BB28" s="150" t="s">
        <v>41</v>
      </c>
      <c r="BC28" s="150" t="s">
        <v>42</v>
      </c>
      <c r="BD28" s="152" t="s">
        <v>43</v>
      </c>
      <c r="BE28" s="152" t="s">
        <v>44</v>
      </c>
      <c r="BF28" s="191"/>
      <c r="BG28" s="191"/>
    </row>
    <row r="29" spans="1:59" ht="31.2" customHeight="1">
      <c r="A29" s="191"/>
      <c r="B29" s="150" t="s">
        <v>45</v>
      </c>
      <c r="C29" s="150" t="s">
        <v>46</v>
      </c>
      <c r="D29" s="153" t="s">
        <v>47</v>
      </c>
      <c r="E29" s="152" t="s">
        <v>48</v>
      </c>
      <c r="F29" s="150" t="s">
        <v>49</v>
      </c>
      <c r="G29" s="150" t="s">
        <v>49</v>
      </c>
      <c r="H29" s="142" t="s">
        <v>49</v>
      </c>
      <c r="I29" s="191"/>
      <c r="J29" s="191"/>
      <c r="K29" s="191"/>
      <c r="L29" s="191"/>
      <c r="M29" s="152" t="s">
        <v>50</v>
      </c>
      <c r="N29" s="191"/>
      <c r="P29" s="191"/>
      <c r="Q29" s="150" t="s">
        <v>45</v>
      </c>
      <c r="R29" s="150" t="s">
        <v>46</v>
      </c>
      <c r="S29" s="153" t="s">
        <v>47</v>
      </c>
      <c r="T29" s="152" t="s">
        <v>48</v>
      </c>
      <c r="U29" s="150" t="s">
        <v>49</v>
      </c>
      <c r="V29" s="150" t="s">
        <v>49</v>
      </c>
      <c r="W29" s="142" t="s">
        <v>49</v>
      </c>
      <c r="X29" s="191"/>
      <c r="Y29" s="191"/>
      <c r="Z29" s="191"/>
      <c r="AA29" s="191"/>
      <c r="AB29" s="152" t="s">
        <v>50</v>
      </c>
      <c r="AC29" s="191"/>
      <c r="AE29" s="191"/>
      <c r="AF29" s="150" t="s">
        <v>45</v>
      </c>
      <c r="AG29" s="150" t="s">
        <v>46</v>
      </c>
      <c r="AH29" s="153" t="s">
        <v>47</v>
      </c>
      <c r="AI29" s="152" t="s">
        <v>48</v>
      </c>
      <c r="AJ29" s="150" t="s">
        <v>49</v>
      </c>
      <c r="AK29" s="150" t="s">
        <v>49</v>
      </c>
      <c r="AL29" s="142" t="s">
        <v>49</v>
      </c>
      <c r="AM29" s="191"/>
      <c r="AN29" s="191"/>
      <c r="AO29" s="191"/>
      <c r="AP29" s="191"/>
      <c r="AQ29" s="152" t="s">
        <v>50</v>
      </c>
      <c r="AR29" s="191"/>
      <c r="AT29" s="191"/>
      <c r="AU29" s="150" t="s">
        <v>45</v>
      </c>
      <c r="AV29" s="150" t="s">
        <v>46</v>
      </c>
      <c r="AW29" s="153" t="s">
        <v>47</v>
      </c>
      <c r="AX29" s="152" t="s">
        <v>48</v>
      </c>
      <c r="AY29" s="150" t="s">
        <v>49</v>
      </c>
      <c r="AZ29" s="150" t="s">
        <v>49</v>
      </c>
      <c r="BA29" s="142" t="s">
        <v>49</v>
      </c>
      <c r="BB29" s="191"/>
      <c r="BC29" s="191"/>
      <c r="BD29" s="191"/>
      <c r="BE29" s="191"/>
      <c r="BF29" s="152" t="s">
        <v>50</v>
      </c>
      <c r="BG29" s="191"/>
    </row>
    <row r="30" spans="1:59" ht="28.8" customHeight="1">
      <c r="A30" s="152" t="s">
        <v>51</v>
      </c>
      <c r="B30" s="154">
        <v>1200000</v>
      </c>
      <c r="C30" s="155">
        <v>441600</v>
      </c>
      <c r="D30" s="158"/>
      <c r="E30" s="156"/>
      <c r="F30" s="157"/>
      <c r="G30" s="157"/>
      <c r="H30" s="157"/>
      <c r="I30" s="157"/>
      <c r="J30" s="157"/>
      <c r="K30" s="157"/>
      <c r="L30" s="157"/>
      <c r="M30" s="158"/>
      <c r="N30" s="157"/>
      <c r="P30" s="152" t="s">
        <v>51</v>
      </c>
      <c r="Q30" s="154">
        <v>1200000</v>
      </c>
      <c r="R30" s="155">
        <v>441600</v>
      </c>
      <c r="S30" s="156"/>
      <c r="T30" s="156"/>
      <c r="U30" s="159"/>
      <c r="V30" s="159"/>
      <c r="W30" s="159"/>
      <c r="X30" s="159"/>
      <c r="Y30" s="159"/>
      <c r="Z30" s="159"/>
      <c r="AA30" s="159"/>
      <c r="AB30" s="156"/>
      <c r="AC30" s="159"/>
      <c r="AE30" s="152" t="s">
        <v>51</v>
      </c>
      <c r="AF30" s="154">
        <v>1200000</v>
      </c>
      <c r="AG30" s="155">
        <v>441600</v>
      </c>
      <c r="AH30" s="153"/>
      <c r="AI30" s="153"/>
      <c r="AJ30" s="150"/>
      <c r="AK30" s="150"/>
      <c r="AL30" s="150"/>
      <c r="AM30" s="150"/>
      <c r="AN30" s="150"/>
      <c r="AO30" s="150"/>
      <c r="AP30" s="150"/>
      <c r="AQ30" s="153"/>
      <c r="AR30" s="150"/>
      <c r="AT30" s="152" t="s">
        <v>51</v>
      </c>
      <c r="AU30" s="154">
        <v>1350000</v>
      </c>
      <c r="AV30" s="155">
        <v>500200</v>
      </c>
      <c r="AW30" s="156"/>
      <c r="AX30" s="156"/>
      <c r="AY30" s="159"/>
      <c r="AZ30" s="159"/>
      <c r="BA30" s="159"/>
      <c r="BB30" s="159"/>
      <c r="BC30" s="159"/>
      <c r="BD30" s="159"/>
      <c r="BE30" s="159"/>
      <c r="BF30" s="156"/>
      <c r="BG30" s="159"/>
    </row>
    <row r="31" spans="1:59" ht="15.6" customHeight="1">
      <c r="A31" s="161" t="s">
        <v>52</v>
      </c>
      <c r="B31" s="142"/>
      <c r="C31" s="191"/>
      <c r="D31" s="153"/>
      <c r="E31" s="150"/>
      <c r="F31" s="150"/>
      <c r="G31" s="150"/>
      <c r="H31" s="150"/>
      <c r="I31" s="150"/>
      <c r="J31" s="150"/>
      <c r="K31" s="150"/>
      <c r="L31" s="150"/>
      <c r="M31" s="153"/>
      <c r="N31" s="150"/>
      <c r="P31" s="161" t="s">
        <v>52</v>
      </c>
      <c r="Q31" s="142"/>
      <c r="R31" s="191"/>
      <c r="S31" s="153"/>
      <c r="T31" s="150"/>
      <c r="U31" s="150"/>
      <c r="V31" s="150"/>
      <c r="W31" s="150"/>
      <c r="X31" s="150"/>
      <c r="Y31" s="150"/>
      <c r="Z31" s="150"/>
      <c r="AA31" s="150"/>
      <c r="AB31" s="153"/>
      <c r="AC31" s="150"/>
      <c r="AE31" s="161" t="s">
        <v>52</v>
      </c>
      <c r="AF31" s="142"/>
      <c r="AG31" s="191"/>
      <c r="AH31" s="153"/>
      <c r="AI31" s="150"/>
      <c r="AJ31" s="150"/>
      <c r="AK31" s="150"/>
      <c r="AL31" s="150"/>
      <c r="AM31" s="150"/>
      <c r="AN31" s="150"/>
      <c r="AO31" s="150"/>
      <c r="AP31" s="150"/>
      <c r="AQ31" s="153"/>
      <c r="AR31" s="150"/>
      <c r="AT31" s="161" t="s">
        <v>52</v>
      </c>
      <c r="AU31" s="142"/>
      <c r="AV31" s="191"/>
      <c r="AW31" s="153"/>
      <c r="AX31" s="150"/>
      <c r="AY31" s="150"/>
      <c r="AZ31" s="150"/>
      <c r="BA31" s="150"/>
      <c r="BB31" s="150"/>
      <c r="BC31" s="150"/>
      <c r="BD31" s="150"/>
      <c r="BE31" s="150"/>
      <c r="BF31" s="153"/>
      <c r="BG31" s="150"/>
    </row>
    <row r="32" spans="1:59" ht="28.8" customHeight="1">
      <c r="A32" s="152" t="s">
        <v>53</v>
      </c>
      <c r="B32" s="155">
        <v>973143</v>
      </c>
      <c r="C32" s="176"/>
      <c r="D32" s="153"/>
      <c r="E32" s="168">
        <v>14.081899999999999</v>
      </c>
      <c r="F32" s="168"/>
      <c r="G32" s="150"/>
      <c r="H32" s="150"/>
      <c r="I32" s="150"/>
      <c r="J32" s="150"/>
      <c r="K32" s="150">
        <v>652.5</v>
      </c>
      <c r="L32" s="156"/>
      <c r="M32" s="153">
        <v>2400</v>
      </c>
      <c r="N32" s="150"/>
      <c r="P32" s="152" t="s">
        <v>53</v>
      </c>
      <c r="Q32" s="155">
        <v>1322714</v>
      </c>
      <c r="R32" s="176"/>
      <c r="S32" s="153"/>
      <c r="T32" s="153">
        <v>3.3820000000000001</v>
      </c>
      <c r="U32" s="153"/>
      <c r="V32" s="150"/>
      <c r="W32" s="150"/>
      <c r="X32" s="150"/>
      <c r="Y32" s="150"/>
      <c r="Z32" s="150">
        <v>652.5</v>
      </c>
      <c r="AA32" s="156"/>
      <c r="AB32" s="153">
        <v>2585</v>
      </c>
      <c r="AC32" s="150"/>
      <c r="AE32" s="152" t="s">
        <v>53</v>
      </c>
      <c r="AF32" s="155">
        <v>1488930</v>
      </c>
      <c r="AG32" s="176"/>
      <c r="AH32" s="153"/>
      <c r="AI32" s="153">
        <v>2.8620000000000001</v>
      </c>
      <c r="AJ32" s="153"/>
      <c r="AK32" s="150"/>
      <c r="AL32" s="154"/>
      <c r="AM32" s="150"/>
      <c r="AN32" s="150"/>
      <c r="AO32" s="150">
        <v>652.5</v>
      </c>
      <c r="AP32" s="156"/>
      <c r="AQ32" s="153">
        <v>2504</v>
      </c>
      <c r="AR32" s="150"/>
      <c r="AT32" s="152" t="s">
        <v>53</v>
      </c>
      <c r="AU32" s="155">
        <v>1488271</v>
      </c>
      <c r="AV32" s="176"/>
      <c r="AW32" s="153"/>
      <c r="AX32" s="150">
        <v>11.186999999999999</v>
      </c>
      <c r="AY32" s="150"/>
      <c r="AZ32" s="150"/>
      <c r="BA32" s="150"/>
      <c r="BB32" s="150"/>
      <c r="BC32" s="150"/>
      <c r="BD32" s="150">
        <v>652.5</v>
      </c>
      <c r="BE32" s="156"/>
      <c r="BF32" s="153">
        <v>2150</v>
      </c>
      <c r="BG32" s="150"/>
    </row>
    <row r="33" spans="1:59" ht="15.6" customHeight="1">
      <c r="A33" s="170" t="s">
        <v>54</v>
      </c>
      <c r="B33" s="155">
        <v>764671</v>
      </c>
      <c r="C33" s="176"/>
      <c r="D33" s="153"/>
      <c r="E33" s="153"/>
      <c r="F33" s="150"/>
      <c r="G33" s="150"/>
      <c r="H33" s="150"/>
      <c r="I33" s="150"/>
      <c r="J33" s="150"/>
      <c r="K33" s="150"/>
      <c r="L33" s="156"/>
      <c r="M33" s="156"/>
      <c r="N33" s="150"/>
      <c r="P33" s="170" t="s">
        <v>54</v>
      </c>
      <c r="Q33" s="155">
        <v>1039355</v>
      </c>
      <c r="R33" s="176"/>
      <c r="S33" s="153"/>
      <c r="T33" s="153"/>
      <c r="U33" s="150"/>
      <c r="V33" s="150"/>
      <c r="W33" s="150"/>
      <c r="X33" s="150"/>
      <c r="Y33" s="150"/>
      <c r="Z33" s="150"/>
      <c r="AA33" s="156"/>
      <c r="AB33" s="156"/>
      <c r="AC33" s="150"/>
      <c r="AE33" s="170" t="s">
        <v>54</v>
      </c>
      <c r="AF33" s="155">
        <v>1169963</v>
      </c>
      <c r="AG33" s="176"/>
      <c r="AH33" s="153"/>
      <c r="AI33" s="153"/>
      <c r="AJ33" s="150"/>
      <c r="AK33" s="150"/>
      <c r="AL33" s="150"/>
      <c r="AM33" s="150"/>
      <c r="AN33" s="150"/>
      <c r="AO33" s="150"/>
      <c r="AP33" s="156"/>
      <c r="AQ33" s="156"/>
      <c r="AR33" s="150"/>
      <c r="AT33" s="170" t="s">
        <v>54</v>
      </c>
      <c r="AU33" s="155">
        <v>1169445</v>
      </c>
      <c r="AV33" s="176"/>
      <c r="AW33" s="153"/>
      <c r="AX33" s="150"/>
      <c r="AY33" s="150"/>
      <c r="AZ33" s="150"/>
      <c r="BA33" s="150"/>
      <c r="BB33" s="150"/>
      <c r="BC33" s="150"/>
      <c r="BD33" s="150"/>
      <c r="BE33" s="156"/>
      <c r="BF33" s="156"/>
      <c r="BG33" s="150"/>
    </row>
    <row r="34" spans="1:59" ht="15.6" customHeight="1">
      <c r="A34" s="170" t="s">
        <v>55</v>
      </c>
      <c r="B34" s="155">
        <v>19463</v>
      </c>
      <c r="C34" s="176"/>
      <c r="D34" s="153"/>
      <c r="E34" s="153">
        <v>1.296</v>
      </c>
      <c r="F34" s="150"/>
      <c r="G34" s="150"/>
      <c r="H34" s="150"/>
      <c r="I34" s="150"/>
      <c r="J34" s="150"/>
      <c r="K34" s="150">
        <v>652.5</v>
      </c>
      <c r="L34" s="156"/>
      <c r="M34" s="153">
        <v>2400</v>
      </c>
      <c r="N34" s="150"/>
      <c r="P34" s="170" t="s">
        <v>55</v>
      </c>
      <c r="Q34" s="155">
        <v>26454</v>
      </c>
      <c r="R34" s="176"/>
      <c r="S34" s="153"/>
      <c r="T34" s="153">
        <v>1.296</v>
      </c>
      <c r="U34" s="150"/>
      <c r="V34" s="150"/>
      <c r="W34" s="150"/>
      <c r="X34" s="150"/>
      <c r="Y34" s="150"/>
      <c r="Z34" s="150">
        <v>652.5</v>
      </c>
      <c r="AA34" s="156"/>
      <c r="AB34" s="153">
        <v>2585</v>
      </c>
      <c r="AC34" s="150"/>
      <c r="AE34" s="170" t="s">
        <v>55</v>
      </c>
      <c r="AF34" s="155">
        <v>29779</v>
      </c>
      <c r="AG34" s="176"/>
      <c r="AH34" s="153"/>
      <c r="AI34" s="153">
        <v>1.296</v>
      </c>
      <c r="AJ34" s="150"/>
      <c r="AK34" s="150"/>
      <c r="AL34" s="150"/>
      <c r="AM34" s="150"/>
      <c r="AN34" s="150"/>
      <c r="AO34" s="150">
        <v>652.5</v>
      </c>
      <c r="AP34" s="156"/>
      <c r="AQ34" s="153">
        <v>2504</v>
      </c>
      <c r="AR34" s="150"/>
      <c r="AT34" s="170" t="s">
        <v>55</v>
      </c>
      <c r="AU34" s="155">
        <v>29765</v>
      </c>
      <c r="AV34" s="176"/>
      <c r="AW34" s="153"/>
      <c r="AX34" s="150">
        <v>1.296</v>
      </c>
      <c r="AY34" s="150"/>
      <c r="AZ34" s="150"/>
      <c r="BA34" s="150"/>
      <c r="BB34" s="150"/>
      <c r="BC34" s="150"/>
      <c r="BD34" s="150">
        <v>652.5</v>
      </c>
      <c r="BE34" s="156"/>
      <c r="BF34" s="153">
        <v>2150</v>
      </c>
      <c r="BG34" s="150"/>
    </row>
    <row r="35" spans="1:59" ht="15.6" customHeight="1">
      <c r="A35" s="170" t="s">
        <v>56</v>
      </c>
      <c r="B35" s="155">
        <v>179109</v>
      </c>
      <c r="C35" s="176"/>
      <c r="D35" s="153"/>
      <c r="E35" s="153"/>
      <c r="F35" s="150"/>
      <c r="G35" s="150"/>
      <c r="H35" s="150"/>
      <c r="I35" s="150"/>
      <c r="J35" s="150"/>
      <c r="K35" s="150"/>
      <c r="L35" s="150"/>
      <c r="M35" s="153"/>
      <c r="N35" s="150"/>
      <c r="P35" s="170" t="s">
        <v>56</v>
      </c>
      <c r="Q35" s="155">
        <v>243449</v>
      </c>
      <c r="R35" s="176"/>
      <c r="S35" s="153"/>
      <c r="T35" s="153"/>
      <c r="U35" s="150"/>
      <c r="V35" s="150"/>
      <c r="W35" s="150"/>
      <c r="X35" s="150"/>
      <c r="Y35" s="150"/>
      <c r="Z35" s="150"/>
      <c r="AA35" s="150"/>
      <c r="AB35" s="153"/>
      <c r="AC35" s="150"/>
      <c r="AE35" s="170" t="s">
        <v>56</v>
      </c>
      <c r="AF35" s="155">
        <v>274041</v>
      </c>
      <c r="AG35" s="176"/>
      <c r="AH35" s="153"/>
      <c r="AI35" s="153"/>
      <c r="AJ35" s="150"/>
      <c r="AK35" s="150"/>
      <c r="AL35" s="150"/>
      <c r="AM35" s="150"/>
      <c r="AN35" s="150"/>
      <c r="AO35" s="150"/>
      <c r="AP35" s="150"/>
      <c r="AQ35" s="153"/>
      <c r="AR35" s="150"/>
      <c r="AT35" s="170" t="s">
        <v>56</v>
      </c>
      <c r="AU35" s="155">
        <v>273920</v>
      </c>
      <c r="AV35" s="176"/>
      <c r="AW35" s="153"/>
      <c r="AX35" s="150"/>
      <c r="AY35" s="150"/>
      <c r="AZ35" s="150"/>
      <c r="BA35" s="150"/>
      <c r="BB35" s="150"/>
      <c r="BC35" s="150"/>
      <c r="BD35" s="150"/>
      <c r="BE35" s="150"/>
      <c r="BF35" s="153"/>
      <c r="BG35" s="150"/>
    </row>
    <row r="36" spans="1:59" ht="34.799999999999997" customHeight="1">
      <c r="A36" s="170" t="s">
        <v>57</v>
      </c>
      <c r="B36" s="155">
        <v>9900</v>
      </c>
      <c r="C36" s="176"/>
      <c r="D36" s="153"/>
      <c r="E36" s="153">
        <v>13.523</v>
      </c>
      <c r="F36" s="150"/>
      <c r="G36" s="150"/>
      <c r="H36" s="150"/>
      <c r="I36" s="150"/>
      <c r="J36" s="150"/>
      <c r="K36" s="150"/>
      <c r="L36" s="150"/>
      <c r="M36" s="153"/>
      <c r="N36" s="150"/>
      <c r="P36" s="170" t="s">
        <v>57</v>
      </c>
      <c r="Q36" s="155">
        <v>13456</v>
      </c>
      <c r="R36" s="176"/>
      <c r="S36" s="153"/>
      <c r="T36" s="153">
        <v>2.0859999999999999</v>
      </c>
      <c r="U36" s="150"/>
      <c r="V36" s="150"/>
      <c r="W36" s="150"/>
      <c r="X36" s="150"/>
      <c r="Y36" s="150"/>
      <c r="Z36" s="150"/>
      <c r="AA36" s="150"/>
      <c r="AB36" s="153"/>
      <c r="AC36" s="150"/>
      <c r="AE36" s="170" t="s">
        <v>57</v>
      </c>
      <c r="AF36" s="155">
        <v>15147</v>
      </c>
      <c r="AG36" s="176"/>
      <c r="AH36" s="153"/>
      <c r="AI36" s="153">
        <v>1.5660000000000001</v>
      </c>
      <c r="AJ36" s="150"/>
      <c r="AK36" s="150"/>
      <c r="AL36" s="150"/>
      <c r="AM36" s="150"/>
      <c r="AN36" s="150"/>
      <c r="AO36" s="150"/>
      <c r="AP36" s="150"/>
      <c r="AQ36" s="153"/>
      <c r="AR36" s="150"/>
      <c r="AT36" s="170" t="s">
        <v>57</v>
      </c>
      <c r="AU36" s="155">
        <v>15141</v>
      </c>
      <c r="AV36" s="176"/>
      <c r="AW36" s="153"/>
      <c r="AX36" s="150">
        <v>9.891</v>
      </c>
      <c r="AY36" s="150"/>
      <c r="AZ36" s="150"/>
      <c r="BA36" s="182"/>
      <c r="BB36" s="150"/>
      <c r="BC36" s="150"/>
      <c r="BD36" s="150"/>
      <c r="BE36" s="150"/>
      <c r="BF36" s="153"/>
      <c r="BG36" s="150"/>
    </row>
    <row r="37" spans="1:59" ht="46.8" customHeight="1">
      <c r="A37" s="150" t="s">
        <v>58</v>
      </c>
      <c r="B37" s="173">
        <f>B33+B35</f>
        <v>943780</v>
      </c>
      <c r="C37" s="176"/>
      <c r="D37" s="174"/>
      <c r="E37" s="158">
        <f>E33+E35</f>
        <v>0</v>
      </c>
      <c r="F37" s="150"/>
      <c r="G37" s="150"/>
      <c r="H37" s="150"/>
      <c r="I37" s="150"/>
      <c r="J37" s="150"/>
      <c r="K37" s="158">
        <f>K33+K35</f>
        <v>0</v>
      </c>
      <c r="L37" s="150"/>
      <c r="M37" s="158">
        <f>M33+M35</f>
        <v>0</v>
      </c>
      <c r="N37" s="150"/>
      <c r="P37" s="150" t="s">
        <v>58</v>
      </c>
      <c r="Q37" s="173">
        <f>Q33+Q35</f>
        <v>1282804</v>
      </c>
      <c r="R37" s="176"/>
      <c r="S37" s="174"/>
      <c r="T37" s="158">
        <f>T33+T35</f>
        <v>0</v>
      </c>
      <c r="U37" s="150"/>
      <c r="V37" s="150"/>
      <c r="W37" s="150"/>
      <c r="X37" s="150"/>
      <c r="Y37" s="150"/>
      <c r="Z37" s="158">
        <f>Z33+Z35</f>
        <v>0</v>
      </c>
      <c r="AA37" s="150"/>
      <c r="AB37" s="158">
        <f>AB33+AB35</f>
        <v>0</v>
      </c>
      <c r="AC37" s="150"/>
      <c r="AE37" s="150" t="s">
        <v>58</v>
      </c>
      <c r="AF37" s="173">
        <f>AF33+AF35</f>
        <v>1444004</v>
      </c>
      <c r="AG37" s="176"/>
      <c r="AH37" s="174"/>
      <c r="AI37" s="158">
        <f>AI33+AI35</f>
        <v>0</v>
      </c>
      <c r="AJ37" s="150"/>
      <c r="AK37" s="150"/>
      <c r="AL37" s="150"/>
      <c r="AM37" s="150"/>
      <c r="AN37" s="150"/>
      <c r="AO37" s="158">
        <f>AO33+AO35</f>
        <v>0</v>
      </c>
      <c r="AP37" s="150"/>
      <c r="AQ37" s="158">
        <f>AQ33+AQ35</f>
        <v>0</v>
      </c>
      <c r="AR37" s="150"/>
      <c r="AT37" s="150" t="s">
        <v>58</v>
      </c>
      <c r="AU37" s="173">
        <f>AU33+AU35</f>
        <v>1443365</v>
      </c>
      <c r="AV37" s="176"/>
      <c r="AW37" s="174"/>
      <c r="AX37" s="158">
        <f>AX33+AX35</f>
        <v>0</v>
      </c>
      <c r="AY37" s="150"/>
      <c r="AZ37" s="150"/>
      <c r="BA37" s="150"/>
      <c r="BB37" s="150"/>
      <c r="BC37" s="150"/>
      <c r="BD37" s="158">
        <f>BD33+BD35</f>
        <v>0</v>
      </c>
      <c r="BE37" s="150"/>
      <c r="BF37" s="158">
        <f>BF33+BF35</f>
        <v>0</v>
      </c>
      <c r="BG37" s="150"/>
    </row>
    <row r="38" spans="1:59" ht="15.6" customHeight="1">
      <c r="A38" s="183" t="s">
        <v>59</v>
      </c>
      <c r="B38" s="142"/>
      <c r="C38" s="191"/>
      <c r="D38" s="153"/>
      <c r="E38" s="153"/>
      <c r="F38" s="150"/>
      <c r="G38" s="150"/>
      <c r="H38" s="150"/>
      <c r="I38" s="150"/>
      <c r="J38" s="150"/>
      <c r="K38" s="150"/>
      <c r="L38" s="150"/>
      <c r="M38" s="153"/>
      <c r="N38" s="150"/>
      <c r="P38" s="152" t="s">
        <v>59</v>
      </c>
      <c r="Q38" s="142"/>
      <c r="R38" s="191"/>
      <c r="S38" s="153"/>
      <c r="T38" s="153"/>
      <c r="U38" s="150"/>
      <c r="V38" s="150"/>
      <c r="W38" s="150"/>
      <c r="X38" s="150"/>
      <c r="Y38" s="150"/>
      <c r="Z38" s="150"/>
      <c r="AA38" s="150"/>
      <c r="AB38" s="153"/>
      <c r="AC38" s="150"/>
      <c r="AE38" s="152" t="s">
        <v>59</v>
      </c>
      <c r="AF38" s="142"/>
      <c r="AG38" s="191"/>
      <c r="AH38" s="153"/>
      <c r="AI38" s="153"/>
      <c r="AJ38" s="150"/>
      <c r="AK38" s="150"/>
      <c r="AL38" s="150"/>
      <c r="AM38" s="150"/>
      <c r="AN38" s="150"/>
      <c r="AO38" s="150"/>
      <c r="AP38" s="150"/>
      <c r="AQ38" s="153"/>
      <c r="AR38" s="150"/>
      <c r="AT38" s="152" t="s">
        <v>59</v>
      </c>
      <c r="AU38" s="142"/>
      <c r="AV38" s="191"/>
      <c r="AW38" s="153"/>
      <c r="AX38" s="153"/>
      <c r="AY38" s="150"/>
      <c r="AZ38" s="150"/>
      <c r="BA38" s="150"/>
      <c r="BB38" s="150"/>
      <c r="BC38" s="150"/>
      <c r="BD38" s="150"/>
      <c r="BE38" s="150"/>
      <c r="BF38" s="153"/>
      <c r="BG38" s="150"/>
    </row>
    <row r="39" spans="1:59" ht="15.6" customHeight="1">
      <c r="A39" s="152" t="s">
        <v>60</v>
      </c>
      <c r="B39" s="192">
        <v>597941</v>
      </c>
      <c r="C39" s="176"/>
      <c r="D39" s="153"/>
      <c r="E39" s="153"/>
      <c r="F39" s="150"/>
      <c r="G39" s="150"/>
      <c r="H39" s="150"/>
      <c r="I39" s="150"/>
      <c r="J39" s="150"/>
      <c r="K39" s="150"/>
      <c r="L39" s="150"/>
      <c r="M39" s="153"/>
      <c r="N39" s="150"/>
      <c r="P39" s="152" t="s">
        <v>60</v>
      </c>
      <c r="Q39" s="192">
        <v>589193</v>
      </c>
      <c r="R39" s="176"/>
      <c r="S39" s="153"/>
      <c r="T39" s="153"/>
      <c r="U39" s="150"/>
      <c r="V39" s="150"/>
      <c r="W39" s="150"/>
      <c r="X39" s="150"/>
      <c r="Y39" s="150"/>
      <c r="Z39" s="150"/>
      <c r="AA39" s="150"/>
      <c r="AB39" s="153"/>
      <c r="AC39" s="150"/>
      <c r="AE39" s="152" t="s">
        <v>60</v>
      </c>
      <c r="AF39" s="192">
        <v>672778</v>
      </c>
      <c r="AG39" s="176"/>
      <c r="AH39" s="153"/>
      <c r="AI39" s="153"/>
      <c r="AJ39" s="150"/>
      <c r="AK39" s="150"/>
      <c r="AL39" s="150"/>
      <c r="AM39" s="150"/>
      <c r="AN39" s="150"/>
      <c r="AO39" s="150"/>
      <c r="AP39" s="150"/>
      <c r="AQ39" s="153"/>
      <c r="AR39" s="150"/>
      <c r="AT39" s="152" t="s">
        <v>60</v>
      </c>
      <c r="AU39" s="192">
        <v>711350</v>
      </c>
      <c r="AV39" s="176"/>
      <c r="AW39" s="153"/>
      <c r="AX39" s="153"/>
      <c r="AY39" s="150"/>
      <c r="AZ39" s="150"/>
      <c r="BA39" s="150"/>
      <c r="BB39" s="150"/>
      <c r="BC39" s="150"/>
      <c r="BD39" s="150"/>
      <c r="BE39" s="150"/>
      <c r="BF39" s="153"/>
      <c r="BG39" s="150"/>
    </row>
    <row r="40" spans="1:59" ht="15.6" customHeight="1">
      <c r="A40" s="179" t="s">
        <v>61</v>
      </c>
      <c r="B40" s="192">
        <v>270720</v>
      </c>
      <c r="C40" s="176"/>
      <c r="D40" s="153"/>
      <c r="E40" s="153"/>
      <c r="F40" s="150"/>
      <c r="G40" s="150"/>
      <c r="H40" s="150"/>
      <c r="I40" s="150"/>
      <c r="J40" s="150"/>
      <c r="K40" s="150"/>
      <c r="L40" s="150"/>
      <c r="M40" s="153"/>
      <c r="N40" s="150"/>
      <c r="P40" s="179" t="s">
        <v>61</v>
      </c>
      <c r="Q40" s="192">
        <v>111057</v>
      </c>
      <c r="R40" s="176"/>
      <c r="S40" s="153"/>
      <c r="T40" s="153"/>
      <c r="U40" s="150"/>
      <c r="V40" s="150"/>
      <c r="W40" s="150"/>
      <c r="X40" s="150"/>
      <c r="Y40" s="150"/>
      <c r="Z40" s="150"/>
      <c r="AA40" s="150"/>
      <c r="AB40" s="153"/>
      <c r="AC40" s="150"/>
      <c r="AE40" s="179" t="s">
        <v>61</v>
      </c>
      <c r="AF40" s="192">
        <v>200183</v>
      </c>
      <c r="AG40" s="176"/>
      <c r="AH40" s="153"/>
      <c r="AI40" s="153"/>
      <c r="AJ40" s="150"/>
      <c r="AK40" s="150"/>
      <c r="AL40" s="150"/>
      <c r="AM40" s="150"/>
      <c r="AN40" s="150"/>
      <c r="AO40" s="150"/>
      <c r="AP40" s="150"/>
      <c r="AQ40" s="153"/>
      <c r="AR40" s="150"/>
      <c r="AT40" s="179" t="s">
        <v>61</v>
      </c>
      <c r="AU40" s="192">
        <v>78717</v>
      </c>
      <c r="AV40" s="176"/>
      <c r="AW40" s="153"/>
      <c r="AX40" s="153"/>
      <c r="AY40" s="150"/>
      <c r="AZ40" s="150"/>
      <c r="BA40" s="150"/>
      <c r="BB40" s="150"/>
      <c r="BC40" s="150"/>
      <c r="BD40" s="150"/>
      <c r="BE40" s="150"/>
      <c r="BF40" s="153"/>
      <c r="BG40" s="150"/>
    </row>
    <row r="41" spans="1:59" ht="15.6" customHeight="1">
      <c r="A41" s="152" t="s">
        <v>62</v>
      </c>
      <c r="B41" s="192">
        <v>125199</v>
      </c>
      <c r="C41" s="176"/>
      <c r="D41" s="153"/>
      <c r="E41" s="153"/>
      <c r="F41" s="150"/>
      <c r="G41" s="150"/>
      <c r="H41" s="150"/>
      <c r="I41" s="150"/>
      <c r="J41" s="150"/>
      <c r="K41" s="150"/>
      <c r="L41" s="150"/>
      <c r="M41" s="153"/>
      <c r="N41" s="150"/>
      <c r="P41" s="152" t="s">
        <v>62</v>
      </c>
      <c r="Q41" s="192">
        <v>253058</v>
      </c>
      <c r="R41" s="176"/>
      <c r="S41" s="153"/>
      <c r="T41" s="153"/>
      <c r="U41" s="150"/>
      <c r="V41" s="150"/>
      <c r="W41" s="150"/>
      <c r="X41" s="150"/>
      <c r="Y41" s="150"/>
      <c r="Z41" s="150"/>
      <c r="AA41" s="150"/>
      <c r="AB41" s="153"/>
      <c r="AC41" s="150"/>
      <c r="AE41" s="152" t="s">
        <v>62</v>
      </c>
      <c r="AF41" s="192">
        <v>294570</v>
      </c>
      <c r="AG41" s="176"/>
      <c r="AH41" s="153"/>
      <c r="AI41" s="153"/>
      <c r="AJ41" s="150"/>
      <c r="AK41" s="150"/>
      <c r="AL41" s="150"/>
      <c r="AM41" s="150"/>
      <c r="AN41" s="150"/>
      <c r="AO41" s="150"/>
      <c r="AP41" s="150"/>
      <c r="AQ41" s="153"/>
      <c r="AR41" s="150"/>
      <c r="AT41" s="152" t="s">
        <v>62</v>
      </c>
      <c r="AU41" s="192">
        <v>213958</v>
      </c>
      <c r="AV41" s="176"/>
      <c r="AW41" s="153"/>
      <c r="AX41" s="153"/>
      <c r="AY41" s="150"/>
      <c r="AZ41" s="150"/>
      <c r="BA41" s="150"/>
      <c r="BB41" s="150"/>
      <c r="BC41" s="150"/>
      <c r="BD41" s="150"/>
      <c r="BE41" s="150"/>
      <c r="BF41" s="153"/>
      <c r="BG41" s="150"/>
    </row>
    <row r="42" spans="1:59" ht="15.6" customHeight="1">
      <c r="A42" s="152" t="s">
        <v>63</v>
      </c>
      <c r="B42" s="192">
        <v>194038</v>
      </c>
      <c r="C42" s="176"/>
      <c r="D42" s="153"/>
      <c r="E42" s="153"/>
      <c r="F42" s="150"/>
      <c r="G42" s="150"/>
      <c r="H42" s="150"/>
      <c r="I42" s="150"/>
      <c r="J42" s="150"/>
      <c r="K42" s="150"/>
      <c r="L42" s="150"/>
      <c r="M42" s="153"/>
      <c r="N42" s="150"/>
      <c r="P42" s="152" t="s">
        <v>63</v>
      </c>
      <c r="Q42" s="192">
        <v>257073</v>
      </c>
      <c r="R42" s="176"/>
      <c r="S42" s="153"/>
      <c r="T42" s="153"/>
      <c r="U42" s="150"/>
      <c r="V42" s="150"/>
      <c r="W42" s="150"/>
      <c r="X42" s="150"/>
      <c r="Y42" s="150"/>
      <c r="Z42" s="150"/>
      <c r="AA42" s="150"/>
      <c r="AB42" s="153"/>
      <c r="AC42" s="150"/>
      <c r="AE42" s="152" t="s">
        <v>63</v>
      </c>
      <c r="AF42" s="192">
        <v>99738</v>
      </c>
      <c r="AG42" s="176"/>
      <c r="AH42" s="153"/>
      <c r="AI42" s="153"/>
      <c r="AJ42" s="150"/>
      <c r="AK42" s="150"/>
      <c r="AL42" s="150"/>
      <c r="AM42" s="150"/>
      <c r="AN42" s="150"/>
      <c r="AO42" s="150"/>
      <c r="AP42" s="150"/>
      <c r="AQ42" s="153"/>
      <c r="AR42" s="150"/>
      <c r="AT42" s="152" t="s">
        <v>63</v>
      </c>
      <c r="AU42" s="192">
        <v>129595</v>
      </c>
      <c r="AV42" s="176"/>
      <c r="AW42" s="153"/>
      <c r="AX42" s="153"/>
      <c r="AY42" s="150"/>
      <c r="AZ42" s="150"/>
      <c r="BA42" s="150"/>
      <c r="BB42" s="150"/>
      <c r="BC42" s="150"/>
      <c r="BD42" s="150"/>
      <c r="BE42" s="150"/>
      <c r="BF42" s="153"/>
      <c r="BG42" s="150"/>
    </row>
    <row r="43" spans="1:59" ht="15.6" customHeight="1">
      <c r="A43" s="152" t="s">
        <v>64</v>
      </c>
      <c r="B43" s="192">
        <v>91680</v>
      </c>
      <c r="C43" s="176"/>
      <c r="D43" s="153"/>
      <c r="E43" s="153"/>
      <c r="F43" s="150"/>
      <c r="G43" s="150"/>
      <c r="H43" s="150"/>
      <c r="I43" s="150"/>
      <c r="J43" s="150"/>
      <c r="K43" s="150"/>
      <c r="L43" s="150"/>
      <c r="M43" s="153"/>
      <c r="N43" s="150"/>
      <c r="P43" s="152" t="s">
        <v>64</v>
      </c>
      <c r="Q43" s="192">
        <v>113518</v>
      </c>
      <c r="R43" s="176"/>
      <c r="S43" s="153"/>
      <c r="T43" s="153"/>
      <c r="U43" s="150"/>
      <c r="V43" s="150"/>
      <c r="W43" s="150"/>
      <c r="X43" s="150"/>
      <c r="Y43" s="150"/>
      <c r="Z43" s="150"/>
      <c r="AA43" s="150"/>
      <c r="AB43" s="153"/>
      <c r="AC43" s="150"/>
      <c r="AE43" s="152" t="s">
        <v>64</v>
      </c>
      <c r="AF43" s="192">
        <v>97935</v>
      </c>
      <c r="AG43" s="176"/>
      <c r="AH43" s="153"/>
      <c r="AI43" s="153"/>
      <c r="AJ43" s="150"/>
      <c r="AK43" s="150"/>
      <c r="AL43" s="150"/>
      <c r="AM43" s="150"/>
      <c r="AN43" s="150"/>
      <c r="AO43" s="150"/>
      <c r="AP43" s="150"/>
      <c r="AQ43" s="153"/>
      <c r="AR43" s="150"/>
      <c r="AT43" s="152" t="s">
        <v>64</v>
      </c>
      <c r="AU43" s="192">
        <v>108137</v>
      </c>
      <c r="AV43" s="176"/>
      <c r="AW43" s="153"/>
      <c r="AX43" s="153"/>
      <c r="AY43" s="150"/>
      <c r="AZ43" s="150"/>
      <c r="BA43" s="150"/>
      <c r="BB43" s="150"/>
      <c r="BC43" s="150"/>
      <c r="BD43" s="150"/>
      <c r="BE43" s="150"/>
      <c r="BF43" s="153"/>
      <c r="BG43" s="150"/>
    </row>
    <row r="44" spans="1:59" ht="15.6" customHeight="1">
      <c r="A44" s="177"/>
      <c r="B44" s="136"/>
      <c r="D44" s="178"/>
      <c r="E44" s="178"/>
      <c r="F44" s="136"/>
      <c r="G44" s="136"/>
      <c r="H44" s="136"/>
      <c r="I44" s="136"/>
      <c r="J44" s="136"/>
      <c r="K44" s="136"/>
      <c r="L44" s="136"/>
      <c r="M44" s="178"/>
      <c r="N44" s="136"/>
      <c r="P44" s="177"/>
      <c r="Q44" s="136"/>
      <c r="S44" s="178"/>
      <c r="T44" s="178"/>
      <c r="U44" s="136"/>
      <c r="V44" s="136"/>
      <c r="W44" s="136"/>
      <c r="X44" s="136"/>
      <c r="Y44" s="136"/>
      <c r="Z44" s="136"/>
      <c r="AA44" s="136"/>
      <c r="AB44" s="178"/>
      <c r="AC44" s="136"/>
      <c r="AE44" s="177"/>
      <c r="AF44" s="136"/>
      <c r="AH44" s="178"/>
      <c r="AI44" s="178"/>
      <c r="AJ44" s="136"/>
      <c r="AK44" s="136"/>
      <c r="AL44" s="136"/>
      <c r="AM44" s="136"/>
      <c r="AN44" s="136"/>
      <c r="AO44" s="136"/>
      <c r="AP44" s="136"/>
      <c r="AQ44" s="178"/>
      <c r="AR44" s="136"/>
      <c r="AT44" s="177"/>
      <c r="AU44" s="136"/>
      <c r="AW44" s="178"/>
      <c r="AX44" s="178"/>
      <c r="AY44" s="136"/>
      <c r="AZ44" s="136"/>
      <c r="BA44" s="136"/>
      <c r="BB44" s="136"/>
      <c r="BC44" s="136"/>
      <c r="BD44" s="136"/>
      <c r="BE44" s="136"/>
      <c r="BF44" s="178"/>
      <c r="BG44" s="136"/>
    </row>
    <row r="45" spans="1:59" ht="91.8" customHeight="1">
      <c r="A45" s="128" t="s">
        <v>70</v>
      </c>
      <c r="B45" s="129"/>
      <c r="C45" s="129"/>
      <c r="D45" s="129"/>
      <c r="E45" s="129"/>
      <c r="F45" s="129"/>
      <c r="G45" s="129"/>
      <c r="H45" s="129"/>
      <c r="I45" s="129"/>
      <c r="J45" s="129"/>
      <c r="K45" s="129"/>
      <c r="L45" s="129"/>
      <c r="M45" s="129"/>
      <c r="N45" s="129"/>
      <c r="O45" s="129"/>
      <c r="P45" s="129"/>
      <c r="Q45" s="129"/>
      <c r="R45" s="129"/>
      <c r="S45" s="129"/>
      <c r="T45" s="129"/>
      <c r="U45" s="129"/>
      <c r="V45" s="129"/>
      <c r="W45" s="129"/>
      <c r="X45" s="129"/>
      <c r="Y45" s="129"/>
      <c r="Z45" s="129"/>
      <c r="AA45" s="129"/>
      <c r="AB45" s="129"/>
      <c r="AC45" s="129"/>
      <c r="AD45" s="129"/>
      <c r="AE45" s="129"/>
      <c r="AF45" s="129"/>
      <c r="AG45" s="129"/>
      <c r="AH45" s="129"/>
      <c r="AI45" s="129"/>
      <c r="AJ45" s="129"/>
      <c r="AK45" s="129"/>
      <c r="AL45" s="129"/>
      <c r="AM45" s="129"/>
      <c r="AN45" s="129"/>
      <c r="AO45" s="129"/>
      <c r="AP45" s="129"/>
      <c r="AQ45" s="129"/>
      <c r="AR45" s="129"/>
      <c r="AS45" s="129"/>
      <c r="AT45" s="129"/>
      <c r="AU45" s="129"/>
      <c r="AV45" s="129"/>
      <c r="AW45" s="129"/>
      <c r="AX45" s="129"/>
      <c r="AY45" s="129"/>
      <c r="AZ45" s="129"/>
      <c r="BA45" s="129"/>
      <c r="BB45" s="129"/>
      <c r="BC45" s="129"/>
      <c r="BD45" s="129"/>
      <c r="BE45" s="129"/>
      <c r="BF45" s="129"/>
      <c r="BG45" s="129"/>
    </row>
    <row r="46" spans="1:59" ht="18" customHeight="1">
      <c r="A46" s="131" t="s">
        <v>24</v>
      </c>
      <c r="B46" s="129"/>
      <c r="C46" s="129"/>
      <c r="D46" s="129"/>
      <c r="E46" s="129"/>
      <c r="F46" s="129"/>
      <c r="G46" s="129"/>
      <c r="H46" s="129"/>
      <c r="I46" s="129"/>
      <c r="J46" s="129"/>
      <c r="K46" s="129"/>
      <c r="L46" s="129"/>
      <c r="M46" s="129"/>
      <c r="N46" s="129"/>
      <c r="P46" s="131" t="s">
        <v>24</v>
      </c>
      <c r="Q46" s="129"/>
      <c r="R46" s="129"/>
      <c r="S46" s="129"/>
      <c r="T46" s="129"/>
      <c r="U46" s="129"/>
      <c r="V46" s="129"/>
      <c r="W46" s="129"/>
      <c r="X46" s="129"/>
      <c r="Y46" s="129"/>
      <c r="Z46" s="129"/>
      <c r="AA46" s="129"/>
      <c r="AB46" s="129"/>
      <c r="AC46" s="129"/>
      <c r="AE46" s="131" t="s">
        <v>24</v>
      </c>
      <c r="AF46" s="129"/>
      <c r="AG46" s="129"/>
      <c r="AH46" s="129"/>
      <c r="AI46" s="129"/>
      <c r="AJ46" s="129"/>
      <c r="AK46" s="129"/>
      <c r="AL46" s="129"/>
      <c r="AM46" s="129"/>
      <c r="AN46" s="129"/>
      <c r="AO46" s="129"/>
      <c r="AP46" s="129"/>
      <c r="AQ46" s="129"/>
      <c r="AR46" s="129"/>
      <c r="AT46" s="131" t="s">
        <v>24</v>
      </c>
      <c r="AU46" s="129"/>
      <c r="AV46" s="129"/>
      <c r="AW46" s="129"/>
      <c r="AX46" s="129"/>
      <c r="AY46" s="129"/>
      <c r="AZ46" s="129"/>
      <c r="BA46" s="129"/>
      <c r="BB46" s="129"/>
      <c r="BC46" s="129"/>
      <c r="BD46" s="129"/>
      <c r="BE46" s="129"/>
      <c r="BF46" s="129"/>
      <c r="BG46" s="129"/>
    </row>
    <row r="47" spans="1:59" ht="16.2" customHeight="1">
      <c r="A47" s="187"/>
      <c r="B47" s="187"/>
      <c r="C47" s="187"/>
      <c r="D47" s="187"/>
      <c r="E47" s="187"/>
      <c r="F47" s="187"/>
      <c r="G47" s="187"/>
      <c r="H47" s="188"/>
      <c r="I47" s="189"/>
      <c r="J47" s="189"/>
      <c r="K47" s="189"/>
      <c r="L47" s="189"/>
      <c r="M47" s="190" t="s">
        <v>25</v>
      </c>
      <c r="N47" s="189"/>
      <c r="P47" s="136"/>
      <c r="Q47" s="136"/>
      <c r="R47" s="136"/>
      <c r="S47" s="136"/>
      <c r="T47" s="136"/>
      <c r="U47" s="136"/>
      <c r="V47" s="136"/>
      <c r="W47" s="137"/>
      <c r="X47" s="129"/>
      <c r="Y47" s="129"/>
      <c r="Z47" s="129"/>
      <c r="AA47" s="129"/>
      <c r="AB47" s="138" t="s">
        <v>25</v>
      </c>
      <c r="AC47" s="129"/>
      <c r="AE47" s="136"/>
      <c r="AF47" s="136"/>
      <c r="AG47" s="136"/>
      <c r="AH47" s="136"/>
      <c r="AI47" s="136"/>
      <c r="AJ47" s="136"/>
      <c r="AK47" s="136"/>
      <c r="AL47" s="137"/>
      <c r="AM47" s="129"/>
      <c r="AN47" s="129"/>
      <c r="AO47" s="129"/>
      <c r="AP47" s="129"/>
      <c r="AQ47" s="138" t="s">
        <v>25</v>
      </c>
      <c r="AR47" s="129"/>
      <c r="AT47" s="187"/>
      <c r="AU47" s="187"/>
      <c r="AV47" s="187"/>
      <c r="AW47" s="187"/>
      <c r="AX47" s="187"/>
      <c r="AY47" s="187"/>
      <c r="AZ47" s="187"/>
      <c r="BA47" s="188"/>
      <c r="BB47" s="189"/>
      <c r="BC47" s="189"/>
      <c r="BD47" s="189"/>
      <c r="BE47" s="189"/>
      <c r="BF47" s="190" t="s">
        <v>25</v>
      </c>
      <c r="BG47" s="189"/>
    </row>
    <row r="48" spans="1:59" ht="15.6" customHeight="1">
      <c r="A48" s="142" t="s">
        <v>71</v>
      </c>
      <c r="B48" s="191"/>
      <c r="C48" s="191"/>
      <c r="D48" s="191"/>
      <c r="E48" s="191"/>
      <c r="F48" s="191"/>
      <c r="G48" s="191"/>
      <c r="H48" s="191"/>
      <c r="I48" s="191"/>
      <c r="J48" s="191"/>
      <c r="K48" s="191"/>
      <c r="L48" s="191"/>
      <c r="M48" s="191"/>
      <c r="N48" s="191"/>
      <c r="P48" s="142" t="s">
        <v>72</v>
      </c>
      <c r="Q48" s="191"/>
      <c r="R48" s="191"/>
      <c r="S48" s="191"/>
      <c r="T48" s="191"/>
      <c r="U48" s="191"/>
      <c r="V48" s="191"/>
      <c r="W48" s="191"/>
      <c r="X48" s="191"/>
      <c r="Y48" s="191"/>
      <c r="Z48" s="191"/>
      <c r="AA48" s="191"/>
      <c r="AB48" s="191"/>
      <c r="AC48" s="191"/>
      <c r="AE48" s="142" t="s">
        <v>73</v>
      </c>
      <c r="AF48" s="191"/>
      <c r="AG48" s="191"/>
      <c r="AH48" s="191"/>
      <c r="AI48" s="191"/>
      <c r="AJ48" s="191"/>
      <c r="AK48" s="191"/>
      <c r="AL48" s="191"/>
      <c r="AM48" s="191"/>
      <c r="AN48" s="191"/>
      <c r="AO48" s="191"/>
      <c r="AP48" s="191"/>
      <c r="AQ48" s="191"/>
      <c r="AR48" s="191"/>
      <c r="AT48" s="142" t="s">
        <v>74</v>
      </c>
      <c r="AU48" s="191"/>
      <c r="AV48" s="191"/>
      <c r="AW48" s="191"/>
      <c r="AX48" s="191"/>
      <c r="AY48" s="191"/>
      <c r="AZ48" s="191"/>
      <c r="BA48" s="191"/>
      <c r="BB48" s="191"/>
      <c r="BC48" s="191"/>
      <c r="BD48" s="191"/>
      <c r="BE48" s="191"/>
      <c r="BF48" s="191"/>
      <c r="BG48" s="191"/>
    </row>
    <row r="49" spans="1:59" ht="15.6" customHeight="1">
      <c r="A49" s="146" t="s">
        <v>30</v>
      </c>
      <c r="B49" s="147" t="s">
        <v>31</v>
      </c>
      <c r="C49" s="191"/>
      <c r="D49" s="147" t="s">
        <v>32</v>
      </c>
      <c r="E49" s="148" t="s">
        <v>33</v>
      </c>
      <c r="F49" s="147" t="s">
        <v>34</v>
      </c>
      <c r="G49" s="146" t="s">
        <v>35</v>
      </c>
      <c r="H49" s="146" t="s">
        <v>36</v>
      </c>
      <c r="I49" s="191"/>
      <c r="J49" s="191"/>
      <c r="K49" s="191"/>
      <c r="L49" s="191"/>
      <c r="M49" s="147" t="s">
        <v>37</v>
      </c>
      <c r="N49" s="147" t="s">
        <v>7</v>
      </c>
      <c r="P49" s="146" t="s">
        <v>30</v>
      </c>
      <c r="Q49" s="147" t="s">
        <v>31</v>
      </c>
      <c r="R49" s="191"/>
      <c r="S49" s="147" t="s">
        <v>32</v>
      </c>
      <c r="T49" s="148" t="s">
        <v>33</v>
      </c>
      <c r="U49" s="147" t="s">
        <v>34</v>
      </c>
      <c r="V49" s="146" t="s">
        <v>35</v>
      </c>
      <c r="W49" s="146" t="s">
        <v>36</v>
      </c>
      <c r="X49" s="191"/>
      <c r="Y49" s="191"/>
      <c r="Z49" s="191"/>
      <c r="AA49" s="191"/>
      <c r="AB49" s="147" t="s">
        <v>37</v>
      </c>
      <c r="AC49" s="147" t="s">
        <v>7</v>
      </c>
      <c r="AE49" s="146" t="s">
        <v>30</v>
      </c>
      <c r="AF49" s="147" t="s">
        <v>31</v>
      </c>
      <c r="AG49" s="191"/>
      <c r="AH49" s="147" t="s">
        <v>32</v>
      </c>
      <c r="AI49" s="148" t="s">
        <v>33</v>
      </c>
      <c r="AJ49" s="147" t="s">
        <v>34</v>
      </c>
      <c r="AK49" s="146" t="s">
        <v>35</v>
      </c>
      <c r="AL49" s="146" t="s">
        <v>36</v>
      </c>
      <c r="AM49" s="191"/>
      <c r="AN49" s="191"/>
      <c r="AO49" s="191"/>
      <c r="AP49" s="191"/>
      <c r="AQ49" s="147" t="s">
        <v>37</v>
      </c>
      <c r="AR49" s="147" t="s">
        <v>7</v>
      </c>
      <c r="AT49" s="146" t="s">
        <v>30</v>
      </c>
      <c r="AU49" s="147" t="s">
        <v>31</v>
      </c>
      <c r="AV49" s="191"/>
      <c r="AW49" s="147" t="s">
        <v>32</v>
      </c>
      <c r="AX49" s="148" t="s">
        <v>33</v>
      </c>
      <c r="AY49" s="147" t="s">
        <v>34</v>
      </c>
      <c r="AZ49" s="146" t="s">
        <v>35</v>
      </c>
      <c r="BA49" s="146" t="s">
        <v>36</v>
      </c>
      <c r="BB49" s="191"/>
      <c r="BC49" s="191"/>
      <c r="BD49" s="191"/>
      <c r="BE49" s="191"/>
      <c r="BF49" s="147" t="s">
        <v>37</v>
      </c>
      <c r="BG49" s="147" t="s">
        <v>7</v>
      </c>
    </row>
    <row r="50" spans="1:59" ht="72" customHeight="1">
      <c r="A50" s="191"/>
      <c r="B50" s="150" t="s">
        <v>38</v>
      </c>
      <c r="C50" s="150" t="s">
        <v>39</v>
      </c>
      <c r="D50" s="191"/>
      <c r="E50" s="191"/>
      <c r="F50" s="191"/>
      <c r="G50" s="191"/>
      <c r="H50" s="150" t="s">
        <v>40</v>
      </c>
      <c r="I50" s="150" t="s">
        <v>41</v>
      </c>
      <c r="J50" s="150" t="s">
        <v>42</v>
      </c>
      <c r="K50" s="152" t="s">
        <v>43</v>
      </c>
      <c r="L50" s="152" t="s">
        <v>44</v>
      </c>
      <c r="M50" s="191"/>
      <c r="N50" s="191"/>
      <c r="P50" s="191"/>
      <c r="Q50" s="150" t="s">
        <v>38</v>
      </c>
      <c r="R50" s="150" t="s">
        <v>39</v>
      </c>
      <c r="S50" s="191"/>
      <c r="T50" s="191"/>
      <c r="U50" s="191"/>
      <c r="V50" s="191"/>
      <c r="W50" s="150" t="s">
        <v>40</v>
      </c>
      <c r="X50" s="150" t="s">
        <v>41</v>
      </c>
      <c r="Y50" s="150" t="s">
        <v>42</v>
      </c>
      <c r="Z50" s="152" t="s">
        <v>43</v>
      </c>
      <c r="AA50" s="152" t="s">
        <v>44</v>
      </c>
      <c r="AB50" s="191"/>
      <c r="AC50" s="191"/>
      <c r="AE50" s="191"/>
      <c r="AF50" s="150" t="s">
        <v>38</v>
      </c>
      <c r="AG50" s="150" t="s">
        <v>39</v>
      </c>
      <c r="AH50" s="191"/>
      <c r="AI50" s="191"/>
      <c r="AJ50" s="191"/>
      <c r="AK50" s="191"/>
      <c r="AL50" s="150" t="s">
        <v>40</v>
      </c>
      <c r="AM50" s="150" t="s">
        <v>41</v>
      </c>
      <c r="AN50" s="150" t="s">
        <v>42</v>
      </c>
      <c r="AO50" s="152" t="s">
        <v>43</v>
      </c>
      <c r="AP50" s="152" t="s">
        <v>44</v>
      </c>
      <c r="AQ50" s="191"/>
      <c r="AR50" s="191"/>
      <c r="AT50" s="191"/>
      <c r="AU50" s="150" t="s">
        <v>38</v>
      </c>
      <c r="AV50" s="150" t="s">
        <v>39</v>
      </c>
      <c r="AW50" s="191"/>
      <c r="AX50" s="191"/>
      <c r="AY50" s="191"/>
      <c r="AZ50" s="191"/>
      <c r="BA50" s="150" t="s">
        <v>40</v>
      </c>
      <c r="BB50" s="150" t="s">
        <v>41</v>
      </c>
      <c r="BC50" s="150" t="s">
        <v>42</v>
      </c>
      <c r="BD50" s="152" t="s">
        <v>43</v>
      </c>
      <c r="BE50" s="152" t="s">
        <v>44</v>
      </c>
      <c r="BF50" s="191"/>
      <c r="BG50" s="191"/>
    </row>
    <row r="51" spans="1:59" ht="31.2" customHeight="1">
      <c r="A51" s="191"/>
      <c r="B51" s="150" t="s">
        <v>45</v>
      </c>
      <c r="C51" s="150" t="s">
        <v>46</v>
      </c>
      <c r="D51" s="153" t="s">
        <v>47</v>
      </c>
      <c r="E51" s="152" t="s">
        <v>48</v>
      </c>
      <c r="F51" s="150" t="s">
        <v>49</v>
      </c>
      <c r="G51" s="150" t="s">
        <v>49</v>
      </c>
      <c r="H51" s="142" t="s">
        <v>49</v>
      </c>
      <c r="I51" s="191"/>
      <c r="J51" s="191"/>
      <c r="K51" s="191"/>
      <c r="L51" s="191"/>
      <c r="M51" s="152" t="s">
        <v>50</v>
      </c>
      <c r="N51" s="191"/>
      <c r="P51" s="191"/>
      <c r="Q51" s="150" t="s">
        <v>45</v>
      </c>
      <c r="R51" s="150" t="s">
        <v>46</v>
      </c>
      <c r="S51" s="153" t="s">
        <v>47</v>
      </c>
      <c r="T51" s="152" t="s">
        <v>48</v>
      </c>
      <c r="U51" s="150" t="s">
        <v>49</v>
      </c>
      <c r="V51" s="150" t="s">
        <v>49</v>
      </c>
      <c r="W51" s="142" t="s">
        <v>49</v>
      </c>
      <c r="X51" s="191"/>
      <c r="Y51" s="191"/>
      <c r="Z51" s="191"/>
      <c r="AA51" s="191"/>
      <c r="AB51" s="152" t="s">
        <v>50</v>
      </c>
      <c r="AC51" s="191"/>
      <c r="AE51" s="191"/>
      <c r="AF51" s="150" t="s">
        <v>45</v>
      </c>
      <c r="AG51" s="150" t="s">
        <v>46</v>
      </c>
      <c r="AH51" s="153" t="s">
        <v>47</v>
      </c>
      <c r="AI51" s="152" t="s">
        <v>48</v>
      </c>
      <c r="AJ51" s="150" t="s">
        <v>49</v>
      </c>
      <c r="AK51" s="150" t="s">
        <v>49</v>
      </c>
      <c r="AL51" s="142" t="s">
        <v>49</v>
      </c>
      <c r="AM51" s="191"/>
      <c r="AN51" s="191"/>
      <c r="AO51" s="191"/>
      <c r="AP51" s="191"/>
      <c r="AQ51" s="152" t="s">
        <v>50</v>
      </c>
      <c r="AR51" s="191"/>
      <c r="AT51" s="191"/>
      <c r="AU51" s="150" t="s">
        <v>45</v>
      </c>
      <c r="AV51" s="150" t="s">
        <v>46</v>
      </c>
      <c r="AW51" s="153" t="s">
        <v>47</v>
      </c>
      <c r="AX51" s="152" t="s">
        <v>48</v>
      </c>
      <c r="AY51" s="150" t="s">
        <v>49</v>
      </c>
      <c r="AZ51" s="150" t="s">
        <v>49</v>
      </c>
      <c r="BA51" s="142" t="s">
        <v>49</v>
      </c>
      <c r="BB51" s="191"/>
      <c r="BC51" s="191"/>
      <c r="BD51" s="191"/>
      <c r="BE51" s="191"/>
      <c r="BF51" s="152" t="s">
        <v>50</v>
      </c>
      <c r="BG51" s="191"/>
    </row>
    <row r="52" spans="1:59" ht="28.8" customHeight="1">
      <c r="A52" s="152" t="s">
        <v>51</v>
      </c>
      <c r="B52" s="154">
        <v>1200000</v>
      </c>
      <c r="C52" s="155">
        <v>441600</v>
      </c>
      <c r="D52" s="158"/>
      <c r="E52" s="156"/>
      <c r="F52" s="157"/>
      <c r="G52" s="157"/>
      <c r="H52" s="157"/>
      <c r="I52" s="157"/>
      <c r="J52" s="157"/>
      <c r="K52" s="157"/>
      <c r="L52" s="157"/>
      <c r="M52" s="158"/>
      <c r="N52" s="157"/>
      <c r="P52" s="152" t="s">
        <v>51</v>
      </c>
      <c r="Q52" s="154">
        <v>1200000</v>
      </c>
      <c r="R52" s="155">
        <v>441600</v>
      </c>
      <c r="S52" s="156"/>
      <c r="T52" s="156"/>
      <c r="U52" s="159"/>
      <c r="V52" s="159"/>
      <c r="W52" s="159"/>
      <c r="X52" s="159"/>
      <c r="Y52" s="159"/>
      <c r="Z52" s="159"/>
      <c r="AA52" s="159"/>
      <c r="AB52" s="156"/>
      <c r="AC52" s="159"/>
      <c r="AE52" s="152" t="s">
        <v>51</v>
      </c>
      <c r="AF52" s="154">
        <v>1200000</v>
      </c>
      <c r="AG52" s="155">
        <v>441600</v>
      </c>
      <c r="AH52" s="153"/>
      <c r="AI52" s="153"/>
      <c r="AJ52" s="150"/>
      <c r="AK52" s="150"/>
      <c r="AL52" s="150"/>
      <c r="AM52" s="150"/>
      <c r="AN52" s="150"/>
      <c r="AO52" s="150"/>
      <c r="AP52" s="150"/>
      <c r="AQ52" s="153"/>
      <c r="AR52" s="150"/>
      <c r="AT52" s="152" t="s">
        <v>51</v>
      </c>
      <c r="AU52" s="154">
        <v>1350000</v>
      </c>
      <c r="AV52" s="155">
        <v>500200</v>
      </c>
      <c r="AW52" s="156"/>
      <c r="AX52" s="156"/>
      <c r="AY52" s="159"/>
      <c r="AZ52" s="159"/>
      <c r="BA52" s="159"/>
      <c r="BB52" s="159"/>
      <c r="BC52" s="159"/>
      <c r="BD52" s="159"/>
      <c r="BE52" s="159"/>
      <c r="BF52" s="156"/>
      <c r="BG52" s="159"/>
    </row>
    <row r="53" spans="1:59" ht="15.6" customHeight="1">
      <c r="A53" s="161" t="s">
        <v>52</v>
      </c>
      <c r="B53" s="142"/>
      <c r="C53" s="191"/>
      <c r="D53" s="153"/>
      <c r="E53" s="150"/>
      <c r="F53" s="150"/>
      <c r="G53" s="150"/>
      <c r="H53" s="150"/>
      <c r="I53" s="150"/>
      <c r="J53" s="150"/>
      <c r="K53" s="150"/>
      <c r="L53" s="150"/>
      <c r="M53" s="153"/>
      <c r="N53" s="150"/>
      <c r="P53" s="161" t="s">
        <v>52</v>
      </c>
      <c r="Q53" s="142"/>
      <c r="R53" s="191"/>
      <c r="S53" s="153"/>
      <c r="T53" s="150"/>
      <c r="U53" s="150"/>
      <c r="V53" s="150"/>
      <c r="W53" s="150"/>
      <c r="X53" s="150"/>
      <c r="Y53" s="150"/>
      <c r="Z53" s="150"/>
      <c r="AA53" s="150"/>
      <c r="AB53" s="153"/>
      <c r="AC53" s="150"/>
      <c r="AE53" s="161" t="s">
        <v>52</v>
      </c>
      <c r="AF53" s="142"/>
      <c r="AG53" s="191"/>
      <c r="AH53" s="153"/>
      <c r="AI53" s="150"/>
      <c r="AJ53" s="150"/>
      <c r="AK53" s="150"/>
      <c r="AL53" s="150"/>
      <c r="AM53" s="150"/>
      <c r="AN53" s="150"/>
      <c r="AO53" s="150"/>
      <c r="AP53" s="150"/>
      <c r="AQ53" s="153"/>
      <c r="AR53" s="150"/>
      <c r="AT53" s="161" t="s">
        <v>52</v>
      </c>
      <c r="AU53" s="142"/>
      <c r="AV53" s="191"/>
      <c r="AW53" s="153"/>
      <c r="AX53" s="150"/>
      <c r="AY53" s="150"/>
      <c r="AZ53" s="150"/>
      <c r="BA53" s="150"/>
      <c r="BB53" s="150"/>
      <c r="BC53" s="150"/>
      <c r="BD53" s="150"/>
      <c r="BE53" s="150"/>
      <c r="BF53" s="153"/>
      <c r="BG53" s="150"/>
    </row>
    <row r="54" spans="1:59" ht="28.8" customHeight="1">
      <c r="A54" s="152" t="s">
        <v>53</v>
      </c>
      <c r="B54" s="155">
        <v>1156453</v>
      </c>
      <c r="C54" s="176"/>
      <c r="D54" s="153"/>
      <c r="E54" s="184">
        <v>22.077999999999999</v>
      </c>
      <c r="F54" s="150"/>
      <c r="G54" s="150"/>
      <c r="H54" s="150"/>
      <c r="I54" s="150"/>
      <c r="J54" s="150"/>
      <c r="K54" s="150">
        <v>225</v>
      </c>
      <c r="L54" s="156"/>
      <c r="M54" s="153">
        <v>1238</v>
      </c>
      <c r="N54" s="150"/>
      <c r="P54" s="152" t="s">
        <v>53</v>
      </c>
      <c r="Q54" s="155">
        <v>1038843</v>
      </c>
      <c r="R54" s="176"/>
      <c r="S54" s="153"/>
      <c r="T54" s="184">
        <v>2.7080000000000002</v>
      </c>
      <c r="U54" s="150"/>
      <c r="V54" s="150"/>
      <c r="W54" s="150"/>
      <c r="X54" s="150"/>
      <c r="Y54" s="150"/>
      <c r="Z54" s="150">
        <v>225</v>
      </c>
      <c r="AA54" s="156"/>
      <c r="AB54" s="153">
        <v>1849</v>
      </c>
      <c r="AC54" s="150"/>
      <c r="AE54" s="152" t="s">
        <v>53</v>
      </c>
      <c r="AF54" s="155">
        <v>1293246</v>
      </c>
      <c r="AG54" s="176"/>
      <c r="AH54" s="153"/>
      <c r="AI54" s="184">
        <v>2.1709999999999998</v>
      </c>
      <c r="AJ54" s="150"/>
      <c r="AK54" s="150"/>
      <c r="AL54" s="150"/>
      <c r="AM54" s="150"/>
      <c r="AN54" s="150"/>
      <c r="AO54" s="150">
        <v>225</v>
      </c>
      <c r="AP54" s="156"/>
      <c r="AQ54" s="153">
        <v>1827</v>
      </c>
      <c r="AR54" s="150"/>
      <c r="AT54" s="152" t="s">
        <v>53</v>
      </c>
      <c r="AU54" s="155">
        <v>1379706</v>
      </c>
      <c r="AV54" s="176"/>
      <c r="AW54" s="153"/>
      <c r="AX54" s="184">
        <v>11.802</v>
      </c>
      <c r="AY54" s="150"/>
      <c r="AZ54" s="150"/>
      <c r="BA54" s="150"/>
      <c r="BB54" s="150"/>
      <c r="BC54" s="150"/>
      <c r="BD54" s="150">
        <v>225</v>
      </c>
      <c r="BE54" s="156"/>
      <c r="BF54" s="153">
        <v>2092</v>
      </c>
      <c r="BG54" s="150"/>
    </row>
    <row r="55" spans="1:59" ht="15.6" customHeight="1">
      <c r="A55" s="170" t="s">
        <v>54</v>
      </c>
      <c r="B55" s="155">
        <v>908711</v>
      </c>
      <c r="C55" s="176"/>
      <c r="D55" s="153"/>
      <c r="E55" s="153"/>
      <c r="F55" s="150"/>
      <c r="G55" s="150"/>
      <c r="H55" s="150"/>
      <c r="I55" s="150"/>
      <c r="J55" s="150"/>
      <c r="K55" s="150"/>
      <c r="L55" s="156"/>
      <c r="M55" s="156"/>
      <c r="N55" s="150"/>
      <c r="P55" s="170" t="s">
        <v>54</v>
      </c>
      <c r="Q55" s="155">
        <v>816296</v>
      </c>
      <c r="R55" s="176"/>
      <c r="S55" s="153"/>
      <c r="T55" s="153"/>
      <c r="U55" s="150"/>
      <c r="V55" s="150"/>
      <c r="W55" s="150"/>
      <c r="X55" s="150"/>
      <c r="Y55" s="150"/>
      <c r="Z55" s="150"/>
      <c r="AA55" s="156"/>
      <c r="AB55" s="153"/>
      <c r="AC55" s="150"/>
      <c r="AE55" s="170" t="s">
        <v>54</v>
      </c>
      <c r="AF55" s="155">
        <v>1016199</v>
      </c>
      <c r="AG55" s="176"/>
      <c r="AH55" s="153"/>
      <c r="AI55" s="153"/>
      <c r="AJ55" s="150"/>
      <c r="AK55" s="150"/>
      <c r="AL55" s="150"/>
      <c r="AM55" s="150"/>
      <c r="AN55" s="150"/>
      <c r="AO55" s="150"/>
      <c r="AP55" s="156"/>
      <c r="AQ55" s="156"/>
      <c r="AR55" s="150"/>
      <c r="AT55" s="170" t="s">
        <v>54</v>
      </c>
      <c r="AU55" s="155">
        <v>1084138</v>
      </c>
      <c r="AV55" s="176"/>
      <c r="AW55" s="153"/>
      <c r="AX55" s="153"/>
      <c r="AY55" s="150"/>
      <c r="AZ55" s="150"/>
      <c r="BA55" s="150"/>
      <c r="BB55" s="150"/>
      <c r="BC55" s="150"/>
      <c r="BD55" s="150"/>
      <c r="BE55" s="156"/>
      <c r="BF55" s="156"/>
      <c r="BG55" s="150"/>
    </row>
    <row r="56" spans="1:59" ht="15.6" customHeight="1">
      <c r="A56" s="170" t="s">
        <v>55</v>
      </c>
      <c r="B56" s="155">
        <v>23129</v>
      </c>
      <c r="C56" s="176"/>
      <c r="D56" s="153"/>
      <c r="E56" s="185">
        <v>1.296</v>
      </c>
      <c r="F56" s="150"/>
      <c r="G56" s="150"/>
      <c r="H56" s="150"/>
      <c r="I56" s="150"/>
      <c r="J56" s="150"/>
      <c r="K56" s="150">
        <v>225</v>
      </c>
      <c r="L56" s="156"/>
      <c r="M56" s="153">
        <v>1238</v>
      </c>
      <c r="N56" s="150"/>
      <c r="P56" s="170" t="s">
        <v>55</v>
      </c>
      <c r="Q56" s="155">
        <v>20777</v>
      </c>
      <c r="R56" s="176"/>
      <c r="S56" s="153"/>
      <c r="T56" s="153">
        <v>1.296</v>
      </c>
      <c r="U56" s="150"/>
      <c r="V56" s="150"/>
      <c r="W56" s="150"/>
      <c r="X56" s="150"/>
      <c r="Y56" s="150"/>
      <c r="Z56" s="150">
        <v>225</v>
      </c>
      <c r="AA56" s="156"/>
      <c r="AB56" s="153">
        <v>1849</v>
      </c>
      <c r="AC56" s="150"/>
      <c r="AE56" s="170" t="s">
        <v>55</v>
      </c>
      <c r="AF56" s="155">
        <v>25865</v>
      </c>
      <c r="AG56" s="176"/>
      <c r="AH56" s="153"/>
      <c r="AI56" s="153">
        <v>1.296</v>
      </c>
      <c r="AJ56" s="150"/>
      <c r="AK56" s="150"/>
      <c r="AL56" s="150"/>
      <c r="AM56" s="150"/>
      <c r="AN56" s="150"/>
      <c r="AO56" s="150">
        <v>225</v>
      </c>
      <c r="AP56" s="156"/>
      <c r="AQ56" s="153">
        <v>1827</v>
      </c>
      <c r="AR56" s="150"/>
      <c r="AT56" s="170" t="s">
        <v>55</v>
      </c>
      <c r="AU56" s="155">
        <v>27594</v>
      </c>
      <c r="AV56" s="176"/>
      <c r="AW56" s="153"/>
      <c r="AX56" s="153">
        <v>1.296</v>
      </c>
      <c r="AY56" s="150"/>
      <c r="AZ56" s="150"/>
      <c r="BA56" s="150"/>
      <c r="BB56" s="150"/>
      <c r="BC56" s="150"/>
      <c r="BD56" s="150">
        <v>225</v>
      </c>
      <c r="BE56" s="156"/>
      <c r="BF56" s="153">
        <v>2092</v>
      </c>
      <c r="BG56" s="150"/>
    </row>
    <row r="57" spans="1:59" ht="15.6" customHeight="1">
      <c r="A57" s="170" t="s">
        <v>56</v>
      </c>
      <c r="B57" s="155">
        <v>212848</v>
      </c>
      <c r="C57" s="176"/>
      <c r="D57" s="153"/>
      <c r="E57" s="153"/>
      <c r="F57" s="150"/>
      <c r="G57" s="150"/>
      <c r="H57" s="150"/>
      <c r="I57" s="150"/>
      <c r="J57" s="150"/>
      <c r="K57" s="150"/>
      <c r="L57" s="150"/>
      <c r="M57" s="153"/>
      <c r="N57" s="150"/>
      <c r="P57" s="170" t="s">
        <v>56</v>
      </c>
      <c r="Q57" s="155">
        <v>191202</v>
      </c>
      <c r="R57" s="176"/>
      <c r="S57" s="153"/>
      <c r="T57" s="153"/>
      <c r="U57" s="150"/>
      <c r="V57" s="150"/>
      <c r="W57" s="150"/>
      <c r="X57" s="150"/>
      <c r="Y57" s="150"/>
      <c r="Z57" s="150"/>
      <c r="AA57" s="150"/>
      <c r="AB57" s="153"/>
      <c r="AC57" s="150"/>
      <c r="AE57" s="170" t="s">
        <v>56</v>
      </c>
      <c r="AF57" s="155">
        <v>238025</v>
      </c>
      <c r="AG57" s="176"/>
      <c r="AH57" s="153"/>
      <c r="AI57" s="153"/>
      <c r="AJ57" s="150"/>
      <c r="AK57" s="150"/>
      <c r="AL57" s="150"/>
      <c r="AM57" s="150"/>
      <c r="AN57" s="150"/>
      <c r="AO57" s="150"/>
      <c r="AP57" s="150"/>
      <c r="AQ57" s="153"/>
      <c r="AR57" s="150"/>
      <c r="AT57" s="170" t="s">
        <v>56</v>
      </c>
      <c r="AU57" s="155">
        <v>253938</v>
      </c>
      <c r="AV57" s="176"/>
      <c r="AW57" s="153"/>
      <c r="AX57" s="153"/>
      <c r="AY57" s="150"/>
      <c r="AZ57" s="150"/>
      <c r="BA57" s="150"/>
      <c r="BB57" s="150"/>
      <c r="BC57" s="150"/>
      <c r="BD57" s="150"/>
      <c r="BE57" s="150"/>
      <c r="BF57" s="153"/>
      <c r="BG57" s="150"/>
    </row>
    <row r="58" spans="1:59" ht="30" customHeight="1">
      <c r="A58" s="170" t="s">
        <v>57</v>
      </c>
      <c r="B58" s="155">
        <v>11765</v>
      </c>
      <c r="C58" s="176"/>
      <c r="D58" s="153"/>
      <c r="E58" s="185">
        <v>20.782</v>
      </c>
      <c r="F58" s="150"/>
      <c r="G58" s="150"/>
      <c r="H58" s="186"/>
      <c r="I58" s="150"/>
      <c r="J58" s="150"/>
      <c r="K58" s="150"/>
      <c r="L58" s="150"/>
      <c r="M58" s="153"/>
      <c r="N58" s="150"/>
      <c r="P58" s="170" t="s">
        <v>57</v>
      </c>
      <c r="Q58" s="155">
        <v>10568</v>
      </c>
      <c r="R58" s="176"/>
      <c r="S58" s="153"/>
      <c r="T58" s="153">
        <v>1.4119999999999999</v>
      </c>
      <c r="U58" s="150"/>
      <c r="V58" s="150"/>
      <c r="W58" s="150"/>
      <c r="X58" s="150"/>
      <c r="Y58" s="150"/>
      <c r="Z58" s="150"/>
      <c r="AA58" s="150"/>
      <c r="AB58" s="153"/>
      <c r="AC58" s="150"/>
      <c r="AE58" s="170" t="s">
        <v>57</v>
      </c>
      <c r="AF58" s="155">
        <v>13157</v>
      </c>
      <c r="AG58" s="176"/>
      <c r="AH58" s="153"/>
      <c r="AI58" s="153">
        <v>0.875</v>
      </c>
      <c r="AJ58" s="150"/>
      <c r="AK58" s="150"/>
      <c r="AL58" s="150"/>
      <c r="AM58" s="150"/>
      <c r="AN58" s="150"/>
      <c r="AO58" s="150"/>
      <c r="AP58" s="150"/>
      <c r="AQ58" s="153"/>
      <c r="AR58" s="150"/>
      <c r="AT58" s="170" t="s">
        <v>57</v>
      </c>
      <c r="AU58" s="155">
        <v>14036</v>
      </c>
      <c r="AV58" s="176"/>
      <c r="AW58" s="153"/>
      <c r="AX58" s="153">
        <v>10.506</v>
      </c>
      <c r="AY58" s="150"/>
      <c r="AZ58" s="150"/>
      <c r="BA58" s="150"/>
      <c r="BB58" s="150"/>
      <c r="BC58" s="150"/>
      <c r="BD58" s="150"/>
      <c r="BE58" s="150"/>
      <c r="BF58" s="153"/>
      <c r="BG58" s="150"/>
    </row>
    <row r="59" spans="1:59" ht="46.8" customHeight="1">
      <c r="A59" s="150" t="s">
        <v>58</v>
      </c>
      <c r="B59" s="173">
        <f>B55+B57</f>
        <v>1121559</v>
      </c>
      <c r="C59" s="176"/>
      <c r="D59" s="174"/>
      <c r="E59" s="158">
        <f>E55+E57</f>
        <v>0</v>
      </c>
      <c r="F59" s="150"/>
      <c r="G59" s="150"/>
      <c r="H59" s="150"/>
      <c r="I59" s="150"/>
      <c r="J59" s="150"/>
      <c r="K59" s="158">
        <f>K55+K57</f>
        <v>0</v>
      </c>
      <c r="L59" s="150"/>
      <c r="M59" s="158">
        <f>M55+M57</f>
        <v>0</v>
      </c>
      <c r="N59" s="150"/>
      <c r="P59" s="150" t="s">
        <v>58</v>
      </c>
      <c r="Q59" s="173">
        <f>Q55+Q57</f>
        <v>1007498</v>
      </c>
      <c r="R59" s="176"/>
      <c r="S59" s="174"/>
      <c r="T59" s="158">
        <f>T55+T57</f>
        <v>0</v>
      </c>
      <c r="U59" s="150"/>
      <c r="V59" s="150"/>
      <c r="W59" s="150"/>
      <c r="X59" s="150"/>
      <c r="Y59" s="150"/>
      <c r="Z59" s="158">
        <f>Z55+Z57</f>
        <v>0</v>
      </c>
      <c r="AA59" s="150"/>
      <c r="AB59" s="158">
        <f>AB55+AB57</f>
        <v>0</v>
      </c>
      <c r="AC59" s="150"/>
      <c r="AE59" s="150" t="s">
        <v>58</v>
      </c>
      <c r="AF59" s="173">
        <f>AF55+AF57</f>
        <v>1254224</v>
      </c>
      <c r="AG59" s="176"/>
      <c r="AH59" s="174"/>
      <c r="AI59" s="158">
        <f>AI55+AI57</f>
        <v>0</v>
      </c>
      <c r="AJ59" s="150"/>
      <c r="AK59" s="150"/>
      <c r="AL59" s="150"/>
      <c r="AM59" s="150"/>
      <c r="AN59" s="150"/>
      <c r="AO59" s="158">
        <f>AO55+AO57</f>
        <v>0</v>
      </c>
      <c r="AP59" s="150"/>
      <c r="AQ59" s="158">
        <f>AQ55+AQ57</f>
        <v>0</v>
      </c>
      <c r="AR59" s="150"/>
      <c r="AT59" s="150" t="s">
        <v>58</v>
      </c>
      <c r="AU59" s="173">
        <f>AU55+AU57</f>
        <v>1338076</v>
      </c>
      <c r="AV59" s="176"/>
      <c r="AW59" s="174"/>
      <c r="AX59" s="158">
        <f>AX55+AX57</f>
        <v>0</v>
      </c>
      <c r="AY59" s="150"/>
      <c r="AZ59" s="150"/>
      <c r="BA59" s="150"/>
      <c r="BB59" s="150"/>
      <c r="BC59" s="150"/>
      <c r="BD59" s="158">
        <f>BD55+BD57</f>
        <v>0</v>
      </c>
      <c r="BE59" s="150"/>
      <c r="BF59" s="158">
        <f>BF55+BF57</f>
        <v>0</v>
      </c>
      <c r="BG59" s="150"/>
    </row>
    <row r="60" spans="1:59" ht="15.6" customHeight="1">
      <c r="A60" s="152" t="s">
        <v>59</v>
      </c>
      <c r="B60" s="142"/>
      <c r="C60" s="191"/>
      <c r="D60" s="153"/>
      <c r="E60" s="153"/>
      <c r="F60" s="150"/>
      <c r="G60" s="150"/>
      <c r="H60" s="150"/>
      <c r="I60" s="150"/>
      <c r="J60" s="150"/>
      <c r="K60" s="150"/>
      <c r="L60" s="150"/>
      <c r="M60" s="153"/>
      <c r="N60" s="150"/>
      <c r="P60" s="152" t="s">
        <v>59</v>
      </c>
      <c r="Q60" s="142"/>
      <c r="R60" s="191"/>
      <c r="S60" s="153"/>
      <c r="T60" s="153"/>
      <c r="U60" s="150"/>
      <c r="V60" s="150"/>
      <c r="W60" s="150"/>
      <c r="X60" s="150"/>
      <c r="Y60" s="150"/>
      <c r="Z60" s="150"/>
      <c r="AA60" s="150"/>
      <c r="AB60" s="153"/>
      <c r="AC60" s="150"/>
      <c r="AE60" s="152" t="s">
        <v>59</v>
      </c>
      <c r="AF60" s="142"/>
      <c r="AG60" s="191"/>
      <c r="AH60" s="153"/>
      <c r="AI60" s="153"/>
      <c r="AJ60" s="150"/>
      <c r="AK60" s="150"/>
      <c r="AL60" s="150"/>
      <c r="AM60" s="150"/>
      <c r="AN60" s="150"/>
      <c r="AO60" s="150"/>
      <c r="AP60" s="150"/>
      <c r="AQ60" s="153"/>
      <c r="AR60" s="150"/>
      <c r="AT60" s="152" t="s">
        <v>59</v>
      </c>
      <c r="AU60" s="142"/>
      <c r="AV60" s="191"/>
      <c r="AW60" s="153"/>
      <c r="AX60" s="153"/>
      <c r="AY60" s="150"/>
      <c r="AZ60" s="150"/>
      <c r="BA60" s="150"/>
      <c r="BB60" s="150"/>
      <c r="BC60" s="150"/>
      <c r="BD60" s="150"/>
      <c r="BE60" s="150"/>
      <c r="BF60" s="153"/>
      <c r="BG60" s="150"/>
    </row>
    <row r="61" spans="1:59">
      <c r="A61" s="152" t="s">
        <v>60</v>
      </c>
      <c r="B61" s="192">
        <v>485272</v>
      </c>
      <c r="C61" s="176"/>
      <c r="D61" s="176"/>
      <c r="E61" s="176"/>
      <c r="F61" s="176"/>
      <c r="G61" s="176"/>
      <c r="H61" s="176"/>
      <c r="I61" s="176"/>
      <c r="J61" s="176"/>
      <c r="K61" s="176"/>
      <c r="L61" s="176"/>
      <c r="M61" s="176"/>
      <c r="N61" s="176"/>
      <c r="P61" s="152" t="s">
        <v>60</v>
      </c>
      <c r="Q61" s="192">
        <v>535749</v>
      </c>
      <c r="R61" s="176"/>
      <c r="S61" s="176"/>
      <c r="T61" s="176"/>
      <c r="U61" s="176"/>
      <c r="V61" s="176"/>
      <c r="W61" s="176"/>
      <c r="X61" s="176"/>
      <c r="Y61" s="176"/>
      <c r="Z61" s="176"/>
      <c r="AA61" s="176"/>
      <c r="AB61" s="176"/>
      <c r="AC61" s="176"/>
      <c r="AE61" s="152" t="s">
        <v>60</v>
      </c>
      <c r="AF61" s="192">
        <v>413290</v>
      </c>
      <c r="AG61" s="176"/>
      <c r="AH61" s="176"/>
      <c r="AI61" s="176"/>
      <c r="AJ61" s="176"/>
      <c r="AK61" s="176"/>
      <c r="AL61" s="176"/>
      <c r="AM61" s="176"/>
      <c r="AN61" s="176"/>
      <c r="AO61" s="176"/>
      <c r="AP61" s="176"/>
      <c r="AQ61" s="176"/>
      <c r="AR61" s="176"/>
      <c r="AT61" s="152" t="s">
        <v>60</v>
      </c>
      <c r="AU61" s="192">
        <v>571543</v>
      </c>
      <c r="AV61" s="176"/>
      <c r="AW61" s="176"/>
      <c r="AX61" s="176"/>
      <c r="AY61" s="176"/>
      <c r="AZ61" s="176"/>
      <c r="BA61" s="176"/>
      <c r="BB61" s="176"/>
      <c r="BC61" s="176"/>
      <c r="BD61" s="176"/>
      <c r="BE61" s="176"/>
      <c r="BF61" s="176"/>
      <c r="BG61" s="176"/>
    </row>
    <row r="62" spans="1:59">
      <c r="A62" s="179" t="s">
        <v>61</v>
      </c>
      <c r="B62" s="192">
        <v>261347</v>
      </c>
      <c r="C62" s="176"/>
      <c r="D62" s="176"/>
      <c r="E62" s="176"/>
      <c r="F62" s="176"/>
      <c r="G62" s="176"/>
      <c r="H62" s="176"/>
      <c r="I62" s="176"/>
      <c r="J62" s="176"/>
      <c r="K62" s="176"/>
      <c r="L62" s="176"/>
      <c r="M62" s="176"/>
      <c r="N62" s="176"/>
      <c r="P62" s="179" t="s">
        <v>61</v>
      </c>
      <c r="Q62" s="192">
        <v>125203</v>
      </c>
      <c r="R62" s="176"/>
      <c r="S62" s="176"/>
      <c r="T62" s="176"/>
      <c r="U62" s="176"/>
      <c r="V62" s="176"/>
      <c r="W62" s="176"/>
      <c r="X62" s="176"/>
      <c r="Y62" s="176"/>
      <c r="Z62" s="176"/>
      <c r="AA62" s="176"/>
      <c r="AB62" s="176"/>
      <c r="AC62" s="176"/>
      <c r="AE62" s="179" t="s">
        <v>61</v>
      </c>
      <c r="AF62" s="192">
        <v>98914</v>
      </c>
      <c r="AG62" s="176"/>
      <c r="AH62" s="176"/>
      <c r="AI62" s="176"/>
      <c r="AJ62" s="176"/>
      <c r="AK62" s="176"/>
      <c r="AL62" s="176"/>
      <c r="AM62" s="176"/>
      <c r="AN62" s="176"/>
      <c r="AO62" s="176"/>
      <c r="AP62" s="176"/>
      <c r="AQ62" s="176"/>
      <c r="AR62" s="176"/>
      <c r="AT62" s="179" t="s">
        <v>61</v>
      </c>
      <c r="AU62" s="192">
        <v>60258</v>
      </c>
      <c r="AV62" s="176"/>
      <c r="AW62" s="176"/>
      <c r="AX62" s="176"/>
      <c r="AY62" s="176"/>
      <c r="AZ62" s="176"/>
      <c r="BA62" s="176"/>
      <c r="BB62" s="176"/>
      <c r="BC62" s="176"/>
      <c r="BD62" s="176"/>
      <c r="BE62" s="176"/>
      <c r="BF62" s="176"/>
      <c r="BG62" s="176"/>
    </row>
    <row r="63" spans="1:59">
      <c r="A63" s="152" t="s">
        <v>62</v>
      </c>
      <c r="B63" s="192">
        <v>208988</v>
      </c>
      <c r="C63" s="176"/>
      <c r="D63" s="176"/>
      <c r="E63" s="176"/>
      <c r="F63" s="176"/>
      <c r="G63" s="176"/>
      <c r="H63" s="176"/>
      <c r="I63" s="176"/>
      <c r="J63" s="176"/>
      <c r="K63" s="176"/>
      <c r="L63" s="176"/>
      <c r="M63" s="176"/>
      <c r="N63" s="176"/>
      <c r="P63" s="152" t="s">
        <v>62</v>
      </c>
      <c r="Q63" s="192">
        <v>249166</v>
      </c>
      <c r="R63" s="176"/>
      <c r="S63" s="176"/>
      <c r="T63" s="176"/>
      <c r="U63" s="176"/>
      <c r="V63" s="176"/>
      <c r="W63" s="176"/>
      <c r="X63" s="176"/>
      <c r="Y63" s="176"/>
      <c r="Z63" s="176"/>
      <c r="AA63" s="176"/>
      <c r="AB63" s="176"/>
      <c r="AC63" s="176"/>
      <c r="AE63" s="152" t="s">
        <v>62</v>
      </c>
      <c r="AF63" s="192">
        <v>489679</v>
      </c>
      <c r="AG63" s="176"/>
      <c r="AH63" s="176"/>
      <c r="AI63" s="176"/>
      <c r="AJ63" s="176"/>
      <c r="AK63" s="176"/>
      <c r="AL63" s="176"/>
      <c r="AM63" s="176"/>
      <c r="AN63" s="176"/>
      <c r="AO63" s="176"/>
      <c r="AP63" s="176"/>
      <c r="AQ63" s="176"/>
      <c r="AR63" s="176"/>
      <c r="AT63" s="152" t="s">
        <v>62</v>
      </c>
      <c r="AU63" s="192">
        <v>407519</v>
      </c>
      <c r="AV63" s="176"/>
      <c r="AW63" s="176"/>
      <c r="AX63" s="176"/>
      <c r="AY63" s="176"/>
      <c r="AZ63" s="176"/>
      <c r="BA63" s="176"/>
      <c r="BB63" s="176"/>
      <c r="BC63" s="176"/>
      <c r="BD63" s="176"/>
      <c r="BE63" s="176"/>
      <c r="BF63" s="176"/>
      <c r="BG63" s="176"/>
    </row>
    <row r="64" spans="1:59">
      <c r="A64" s="152" t="s">
        <v>63</v>
      </c>
      <c r="B64" s="192">
        <v>473868</v>
      </c>
      <c r="C64" s="176"/>
      <c r="D64" s="176"/>
      <c r="E64" s="176"/>
      <c r="F64" s="176"/>
      <c r="G64" s="176"/>
      <c r="H64" s="176"/>
      <c r="I64" s="176"/>
      <c r="J64" s="176"/>
      <c r="K64" s="176"/>
      <c r="L64" s="176"/>
      <c r="M64" s="176"/>
      <c r="N64" s="176"/>
      <c r="P64" s="152" t="s">
        <v>63</v>
      </c>
      <c r="Q64" s="192">
        <v>67110</v>
      </c>
      <c r="R64" s="176"/>
      <c r="S64" s="176"/>
      <c r="T64" s="176"/>
      <c r="U64" s="176"/>
      <c r="V64" s="176"/>
      <c r="W64" s="176"/>
      <c r="X64" s="176"/>
      <c r="Y64" s="176"/>
      <c r="Z64" s="176"/>
      <c r="AA64" s="176"/>
      <c r="AB64" s="176"/>
      <c r="AC64" s="176"/>
      <c r="AE64" s="152" t="s">
        <v>63</v>
      </c>
      <c r="AF64" s="192">
        <v>453074</v>
      </c>
      <c r="AG64" s="176"/>
      <c r="AH64" s="176"/>
      <c r="AI64" s="176"/>
      <c r="AJ64" s="176"/>
      <c r="AK64" s="176"/>
      <c r="AL64" s="176"/>
      <c r="AM64" s="176"/>
      <c r="AN64" s="176"/>
      <c r="AO64" s="176"/>
      <c r="AP64" s="176"/>
      <c r="AQ64" s="176"/>
      <c r="AR64" s="176"/>
      <c r="AT64" s="152" t="s">
        <v>63</v>
      </c>
      <c r="AU64" s="192">
        <v>391889</v>
      </c>
      <c r="AV64" s="176"/>
      <c r="AW64" s="176"/>
      <c r="AX64" s="176"/>
      <c r="AY64" s="176"/>
      <c r="AZ64" s="176"/>
      <c r="BA64" s="176"/>
      <c r="BB64" s="176"/>
      <c r="BC64" s="176"/>
      <c r="BD64" s="176"/>
      <c r="BE64" s="176"/>
      <c r="BF64" s="176"/>
      <c r="BG64" s="176"/>
    </row>
    <row r="65" spans="1:59">
      <c r="A65" s="152" t="s">
        <v>64</v>
      </c>
      <c r="B65" s="192">
        <v>77565</v>
      </c>
      <c r="C65" s="176"/>
      <c r="D65" s="176"/>
      <c r="E65" s="176"/>
      <c r="F65" s="176"/>
      <c r="G65" s="176"/>
      <c r="H65" s="176"/>
      <c r="I65" s="176"/>
      <c r="J65" s="176"/>
      <c r="K65" s="176"/>
      <c r="L65" s="176"/>
      <c r="M65" s="176"/>
      <c r="N65" s="176"/>
      <c r="P65" s="152" t="s">
        <v>64</v>
      </c>
      <c r="Q65" s="192">
        <v>106759</v>
      </c>
      <c r="R65" s="176"/>
      <c r="S65" s="176"/>
      <c r="T65" s="176"/>
      <c r="U65" s="176"/>
      <c r="V65" s="176"/>
      <c r="W65" s="176"/>
      <c r="X65" s="176"/>
      <c r="Y65" s="176"/>
      <c r="Z65" s="176"/>
      <c r="AA65" s="176"/>
      <c r="AB65" s="176"/>
      <c r="AC65" s="176"/>
      <c r="AE65" s="152" t="s">
        <v>64</v>
      </c>
      <c r="AF65" s="192">
        <v>151300</v>
      </c>
      <c r="AG65" s="176"/>
      <c r="AH65" s="176"/>
      <c r="AI65" s="176"/>
      <c r="AJ65" s="176"/>
      <c r="AK65" s="176"/>
      <c r="AL65" s="176"/>
      <c r="AM65" s="176"/>
      <c r="AN65" s="176"/>
      <c r="AO65" s="176"/>
      <c r="AP65" s="176"/>
      <c r="AQ65" s="176"/>
      <c r="AR65" s="176"/>
      <c r="AT65" s="152" t="s">
        <v>64</v>
      </c>
      <c r="AU65" s="192">
        <v>152996</v>
      </c>
      <c r="AV65" s="176"/>
      <c r="AW65" s="176"/>
      <c r="AX65" s="176"/>
      <c r="AY65" s="176"/>
      <c r="AZ65" s="176"/>
      <c r="BA65" s="176"/>
      <c r="BB65" s="176"/>
      <c r="BC65" s="176"/>
      <c r="BD65" s="176"/>
      <c r="BE65" s="176"/>
      <c r="BF65" s="176"/>
      <c r="BG65" s="176"/>
    </row>
  </sheetData>
  <mergeCells count="195">
    <mergeCell ref="BF5:BF6"/>
    <mergeCell ref="W3:AA3"/>
    <mergeCell ref="F5:F6"/>
    <mergeCell ref="AC5:AC7"/>
    <mergeCell ref="A27:A29"/>
    <mergeCell ref="AB25:AC25"/>
    <mergeCell ref="W5:AA5"/>
    <mergeCell ref="A26:N26"/>
    <mergeCell ref="W25:AA25"/>
    <mergeCell ref="AY5:AY6"/>
    <mergeCell ref="AT26:BG26"/>
    <mergeCell ref="BG5:BG7"/>
    <mergeCell ref="BA25:BE25"/>
    <mergeCell ref="AT5:AT7"/>
    <mergeCell ref="AQ27:AQ28"/>
    <mergeCell ref="AE2:AR2"/>
    <mergeCell ref="M3:N3"/>
    <mergeCell ref="AL3:AP3"/>
    <mergeCell ref="P2:AC2"/>
    <mergeCell ref="AQ3:AR3"/>
    <mergeCell ref="A5:A7"/>
    <mergeCell ref="A24:N24"/>
    <mergeCell ref="M5:M6"/>
    <mergeCell ref="AE5:AE7"/>
    <mergeCell ref="N5:N7"/>
    <mergeCell ref="P5:P7"/>
    <mergeCell ref="AR5:AR7"/>
    <mergeCell ref="P4:AC4"/>
    <mergeCell ref="AF16:AG16"/>
    <mergeCell ref="E5:E6"/>
    <mergeCell ref="T5:T6"/>
    <mergeCell ref="AQ5:AQ6"/>
    <mergeCell ref="Q5:R5"/>
    <mergeCell ref="A1:BG1"/>
    <mergeCell ref="AH5:AH6"/>
    <mergeCell ref="AU49:AV49"/>
    <mergeCell ref="AL7:AP7"/>
    <mergeCell ref="BG27:BG29"/>
    <mergeCell ref="U27:U28"/>
    <mergeCell ref="D27:D28"/>
    <mergeCell ref="F27:F28"/>
    <mergeCell ref="H25:L25"/>
    <mergeCell ref="AF5:AG5"/>
    <mergeCell ref="BA47:BE47"/>
    <mergeCell ref="A46:N46"/>
    <mergeCell ref="AJ49:AJ50"/>
    <mergeCell ref="AL47:AP47"/>
    <mergeCell ref="H29:L29"/>
    <mergeCell ref="AU9:AV9"/>
    <mergeCell ref="W47:AA47"/>
    <mergeCell ref="BF3:BG3"/>
    <mergeCell ref="A2:N2"/>
    <mergeCell ref="A49:A51"/>
    <mergeCell ref="AH27:AH28"/>
    <mergeCell ref="AB27:AB28"/>
    <mergeCell ref="B49:C49"/>
    <mergeCell ref="D49:D50"/>
    <mergeCell ref="BF49:BF50"/>
    <mergeCell ref="AF27:AG27"/>
    <mergeCell ref="N49:N51"/>
    <mergeCell ref="AU31:AV31"/>
    <mergeCell ref="AW27:AW28"/>
    <mergeCell ref="AY49:AY50"/>
    <mergeCell ref="M49:M50"/>
    <mergeCell ref="P46:AC46"/>
    <mergeCell ref="P27:P29"/>
    <mergeCell ref="T27:T28"/>
    <mergeCell ref="AB47:AC47"/>
    <mergeCell ref="Q38:R38"/>
    <mergeCell ref="S49:S50"/>
    <mergeCell ref="AL27:AP27"/>
    <mergeCell ref="M47:N47"/>
    <mergeCell ref="W27:AA27"/>
    <mergeCell ref="AI5:AI6"/>
    <mergeCell ref="H27:L27"/>
    <mergeCell ref="AK5:AK6"/>
    <mergeCell ref="AL25:AP25"/>
    <mergeCell ref="AE26:AR26"/>
    <mergeCell ref="AK49:AK50"/>
    <mergeCell ref="W49:AA49"/>
    <mergeCell ref="V49:V50"/>
    <mergeCell ref="Q49:R49"/>
    <mergeCell ref="AI49:AI50"/>
    <mergeCell ref="AE49:AE51"/>
    <mergeCell ref="N27:N29"/>
    <mergeCell ref="M27:M28"/>
    <mergeCell ref="AB5:AB6"/>
    <mergeCell ref="AB3:AC3"/>
    <mergeCell ref="AZ5:AZ6"/>
    <mergeCell ref="AF49:AG49"/>
    <mergeCell ref="H47:L47"/>
    <mergeCell ref="AQ47:AR47"/>
    <mergeCell ref="AZ49:AZ50"/>
    <mergeCell ref="W51:AA51"/>
    <mergeCell ref="A45:BG45"/>
    <mergeCell ref="U49:U50"/>
    <mergeCell ref="AI27:AI28"/>
    <mergeCell ref="BA29:BE29"/>
    <mergeCell ref="BG49:BG51"/>
    <mergeCell ref="AJ27:AJ28"/>
    <mergeCell ref="H3:L3"/>
    <mergeCell ref="AH49:AH50"/>
    <mergeCell ref="H5:L5"/>
    <mergeCell ref="AZ27:AZ28"/>
    <mergeCell ref="AE48:AR48"/>
    <mergeCell ref="AE24:AR24"/>
    <mergeCell ref="V5:V6"/>
    <mergeCell ref="H49:L49"/>
    <mergeCell ref="AF38:AG38"/>
    <mergeCell ref="AL5:AP5"/>
    <mergeCell ref="AF31:AG31"/>
    <mergeCell ref="AE27:AE29"/>
    <mergeCell ref="G27:G28"/>
    <mergeCell ref="AL29:AP29"/>
    <mergeCell ref="AR49:AR51"/>
    <mergeCell ref="Q16:R16"/>
    <mergeCell ref="W7:AA7"/>
    <mergeCell ref="Q31:R31"/>
    <mergeCell ref="BA27:BE27"/>
    <mergeCell ref="P24:AC24"/>
    <mergeCell ref="G49:G50"/>
    <mergeCell ref="AY27:AY28"/>
    <mergeCell ref="AT24:BG24"/>
    <mergeCell ref="AF60:AG60"/>
    <mergeCell ref="AL51:AP51"/>
    <mergeCell ref="B27:C27"/>
    <mergeCell ref="AT48:BG48"/>
    <mergeCell ref="AT49:AT51"/>
    <mergeCell ref="Q9:R9"/>
    <mergeCell ref="AU53:AV53"/>
    <mergeCell ref="E27:E28"/>
    <mergeCell ref="BA51:BE51"/>
    <mergeCell ref="F49:F50"/>
    <mergeCell ref="AT46:BG46"/>
    <mergeCell ref="AF53:AG53"/>
    <mergeCell ref="Q53:R53"/>
    <mergeCell ref="S27:S28"/>
    <mergeCell ref="AU27:AV27"/>
    <mergeCell ref="AW49:AW50"/>
    <mergeCell ref="AK27:AK28"/>
    <mergeCell ref="AF9:AG9"/>
    <mergeCell ref="Q60:R60"/>
    <mergeCell ref="AX27:AX28"/>
    <mergeCell ref="V27:V28"/>
    <mergeCell ref="AU38:AV38"/>
    <mergeCell ref="B53:C53"/>
    <mergeCell ref="E49:E50"/>
    <mergeCell ref="AU60:AV60"/>
    <mergeCell ref="P49:P51"/>
    <mergeCell ref="BA7:BE7"/>
    <mergeCell ref="B5:C5"/>
    <mergeCell ref="W29:AA29"/>
    <mergeCell ref="M25:N25"/>
    <mergeCell ref="B60:C60"/>
    <mergeCell ref="H51:L51"/>
    <mergeCell ref="P48:AC48"/>
    <mergeCell ref="A23:BG23"/>
    <mergeCell ref="AW5:AW6"/>
    <mergeCell ref="G5:G6"/>
    <mergeCell ref="B38:C38"/>
    <mergeCell ref="AR27:AR29"/>
    <mergeCell ref="BF27:BF28"/>
    <mergeCell ref="AU5:AV5"/>
    <mergeCell ref="AX49:AX50"/>
    <mergeCell ref="AL49:AP49"/>
    <mergeCell ref="S5:S6"/>
    <mergeCell ref="Q27:R27"/>
    <mergeCell ref="B9:C9"/>
    <mergeCell ref="T49:T50"/>
    <mergeCell ref="AQ49:AQ50"/>
    <mergeCell ref="AB49:AB50"/>
    <mergeCell ref="AC49:AC51"/>
    <mergeCell ref="AJ5:AJ6"/>
    <mergeCell ref="AT2:BG2"/>
    <mergeCell ref="BF47:BG47"/>
    <mergeCell ref="B16:C16"/>
    <mergeCell ref="H7:L7"/>
    <mergeCell ref="B31:C31"/>
    <mergeCell ref="AC27:AC29"/>
    <mergeCell ref="AX5:AX6"/>
    <mergeCell ref="BF25:BG25"/>
    <mergeCell ref="BA5:BE5"/>
    <mergeCell ref="AT4:BG4"/>
    <mergeCell ref="AE4:AR4"/>
    <mergeCell ref="AT27:AT29"/>
    <mergeCell ref="P26:AC26"/>
    <mergeCell ref="AQ25:AR25"/>
    <mergeCell ref="AU16:AV16"/>
    <mergeCell ref="A48:N48"/>
    <mergeCell ref="U5:U6"/>
    <mergeCell ref="BA3:BE3"/>
    <mergeCell ref="BA49:BE49"/>
    <mergeCell ref="D5:D6"/>
    <mergeCell ref="A4:N4"/>
    <mergeCell ref="AE46:AR46"/>
  </mergeCells>
  <pageMargins left="0.7" right="0.7"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4"/>
  <dimension ref="A1:BG76"/>
  <sheetViews>
    <sheetView topLeftCell="U40" zoomScale="70" zoomScaleNormal="70" workbookViewId="0">
      <selection activeCell="AL48" sqref="AL48"/>
    </sheetView>
  </sheetViews>
  <sheetFormatPr defaultColWidth="9" defaultRowHeight="14.4"/>
  <cols>
    <col min="2" max="2" width="15.33203125" style="80" customWidth="1"/>
    <col min="3" max="4" width="9.77734375" style="80" bestFit="1" customWidth="1"/>
    <col min="5" max="5" width="16.88671875" style="80" bestFit="1" customWidth="1"/>
    <col min="6" max="6" width="9.77734375" style="80" bestFit="1" customWidth="1"/>
    <col min="7" max="7" width="7" style="80" bestFit="1" customWidth="1"/>
    <col min="8" max="9" width="9" style="80" hidden="1" customWidth="1"/>
    <col min="10" max="10" width="8.21875" style="80" bestFit="1" customWidth="1"/>
    <col min="11" max="11" width="8" style="80" bestFit="1" customWidth="1"/>
    <col min="12" max="12" width="8.44140625" style="80" bestFit="1" customWidth="1"/>
    <col min="13" max="13" width="23.21875" style="80" bestFit="1" customWidth="1"/>
    <col min="14" max="14" width="7.5546875" style="80" bestFit="1" customWidth="1"/>
    <col min="15" max="15" width="5.77734375" style="80" bestFit="1" customWidth="1"/>
    <col min="16" max="16" width="12.44140625" style="80" bestFit="1" customWidth="1"/>
    <col min="18" max="19" width="10" style="80" bestFit="1" customWidth="1"/>
    <col min="20" max="20" width="10.44140625" style="80" bestFit="1" customWidth="1"/>
    <col min="21" max="22" width="10" style="80" bestFit="1" customWidth="1"/>
    <col min="23" max="23" width="8.44140625" style="80" bestFit="1" customWidth="1"/>
    <col min="24" max="25" width="6.33203125" style="80" bestFit="1" customWidth="1"/>
    <col min="26" max="26" width="7.33203125" style="80" bestFit="1" customWidth="1"/>
    <col min="27" max="27" width="8.44140625" style="80" bestFit="1" customWidth="1"/>
    <col min="28" max="28" width="4.109375" style="80" bestFit="1" customWidth="1"/>
    <col min="29" max="29" width="7.33203125" style="80" bestFit="1" customWidth="1"/>
    <col min="30" max="30" width="4.109375" style="80" bestFit="1" customWidth="1"/>
    <col min="31" max="31" width="7.33203125" style="80" bestFit="1" customWidth="1"/>
    <col min="32" max="32" width="4.109375" style="80" bestFit="1" customWidth="1"/>
    <col min="33" max="33" width="7.33203125" style="80" bestFit="1" customWidth="1"/>
    <col min="34" max="34" width="4.109375" style="80" bestFit="1" customWidth="1"/>
    <col min="35" max="35" width="7.33203125" style="80" bestFit="1" customWidth="1"/>
    <col min="36" max="36" width="4.109375" style="80" bestFit="1" customWidth="1"/>
    <col min="37" max="37" width="7.33203125" style="80" bestFit="1" customWidth="1"/>
    <col min="38" max="38" width="10" style="80" bestFit="1" customWidth="1"/>
    <col min="39" max="41" width="5.5546875" style="80" bestFit="1" customWidth="1"/>
    <col min="42" max="42" width="10" style="80" bestFit="1" customWidth="1"/>
    <col min="43" max="47" width="8.44140625" style="80" bestFit="1" customWidth="1"/>
    <col min="48" max="48" width="7.33203125" style="80" bestFit="1" customWidth="1"/>
    <col min="49" max="50" width="6.33203125" style="80" bestFit="1" customWidth="1"/>
    <col min="51" max="52" width="7.33203125" style="80" bestFit="1" customWidth="1"/>
    <col min="53" max="57" width="8.44140625" style="80" bestFit="1" customWidth="1"/>
  </cols>
  <sheetData>
    <row r="1" spans="1:59" ht="17.399999999999999" customHeight="1">
      <c r="A1" s="117" t="s">
        <v>75</v>
      </c>
      <c r="B1" s="92"/>
      <c r="C1" s="92"/>
      <c r="D1" s="92"/>
      <c r="E1" s="92"/>
      <c r="F1" s="92"/>
      <c r="G1" s="92"/>
      <c r="H1" s="92"/>
      <c r="I1" s="92"/>
      <c r="J1" s="92"/>
      <c r="K1" s="92"/>
      <c r="L1" s="92"/>
      <c r="M1" s="92"/>
      <c r="N1" s="92"/>
      <c r="O1" s="92"/>
      <c r="P1" s="92"/>
    </row>
    <row r="2" spans="1:59" ht="15.6" customHeight="1">
      <c r="A2" s="98"/>
      <c r="B2" s="93"/>
      <c r="C2" s="84"/>
      <c r="D2" s="84"/>
      <c r="E2" s="20"/>
      <c r="F2" s="20"/>
      <c r="G2" s="84"/>
      <c r="H2" s="84"/>
      <c r="I2" s="84"/>
      <c r="J2" s="84"/>
      <c r="K2" s="84"/>
      <c r="L2" s="84"/>
      <c r="M2" s="84"/>
      <c r="N2" s="84"/>
      <c r="O2" s="115" t="s">
        <v>76</v>
      </c>
      <c r="P2" s="93"/>
    </row>
    <row r="3" spans="1:59" ht="31.5" customHeight="1">
      <c r="A3" s="111" t="s">
        <v>30</v>
      </c>
      <c r="B3" s="95"/>
      <c r="C3" s="111" t="s">
        <v>77</v>
      </c>
      <c r="D3" s="101"/>
      <c r="E3" s="102" t="s">
        <v>32</v>
      </c>
      <c r="F3" s="102" t="s">
        <v>33</v>
      </c>
      <c r="G3" s="102" t="s">
        <v>34</v>
      </c>
      <c r="H3" s="102" t="s">
        <v>35</v>
      </c>
      <c r="I3" s="95"/>
      <c r="J3" s="102" t="s">
        <v>36</v>
      </c>
      <c r="K3" s="103"/>
      <c r="L3" s="103"/>
      <c r="M3" s="103"/>
      <c r="N3" s="101"/>
      <c r="O3" s="102" t="s">
        <v>37</v>
      </c>
      <c r="P3" s="102" t="s">
        <v>7</v>
      </c>
      <c r="R3" s="104" t="s">
        <v>78</v>
      </c>
      <c r="S3" s="94"/>
      <c r="T3" s="94"/>
      <c r="U3" s="94"/>
      <c r="V3" s="94"/>
      <c r="W3" s="94"/>
      <c r="X3" s="94"/>
      <c r="Y3" s="94"/>
      <c r="Z3" s="94"/>
      <c r="AA3" s="94"/>
      <c r="AB3" s="94"/>
      <c r="AC3" s="94"/>
      <c r="AD3" s="94"/>
      <c r="AE3" s="94"/>
      <c r="AF3" s="94"/>
      <c r="AG3" s="94"/>
      <c r="AH3" s="94"/>
      <c r="AI3" s="94"/>
      <c r="AJ3" s="94"/>
      <c r="AK3" s="94"/>
      <c r="AL3" s="94"/>
      <c r="AM3" s="94"/>
      <c r="AN3" s="94"/>
      <c r="AO3" s="94"/>
      <c r="AP3" s="91"/>
      <c r="AQ3" s="116" t="s">
        <v>79</v>
      </c>
      <c r="AR3" s="94"/>
      <c r="AS3" s="94"/>
      <c r="AT3" s="94"/>
      <c r="AU3" s="94"/>
      <c r="AV3" s="94"/>
      <c r="AW3" s="94"/>
      <c r="AX3" s="94"/>
      <c r="AY3" s="94"/>
      <c r="AZ3" s="94"/>
      <c r="BA3" s="94"/>
      <c r="BB3" s="94"/>
      <c r="BC3" s="94"/>
      <c r="BD3" s="94"/>
      <c r="BE3" s="91"/>
    </row>
    <row r="4" spans="1:59" ht="46.5" customHeight="1">
      <c r="A4" s="107"/>
      <c r="B4" s="108"/>
      <c r="C4" s="99" t="s">
        <v>80</v>
      </c>
      <c r="D4" s="99" t="s">
        <v>39</v>
      </c>
      <c r="E4" s="106"/>
      <c r="F4" s="106"/>
      <c r="G4" s="106"/>
      <c r="H4" s="107"/>
      <c r="I4" s="108"/>
      <c r="J4" s="99" t="s">
        <v>41</v>
      </c>
      <c r="K4" s="99" t="s">
        <v>81</v>
      </c>
      <c r="L4" s="113" t="s">
        <v>42</v>
      </c>
      <c r="M4" s="99" t="s">
        <v>82</v>
      </c>
      <c r="N4" s="114" t="s">
        <v>83</v>
      </c>
      <c r="O4" s="106"/>
      <c r="P4" s="106"/>
      <c r="R4" s="104" t="s">
        <v>84</v>
      </c>
      <c r="S4" s="94"/>
      <c r="T4" s="94"/>
      <c r="U4" s="94"/>
      <c r="V4" s="91"/>
      <c r="W4" s="104" t="s">
        <v>85</v>
      </c>
      <c r="X4" s="94"/>
      <c r="Y4" s="94"/>
      <c r="Z4" s="94"/>
      <c r="AA4" s="91"/>
      <c r="AB4" s="104" t="s">
        <v>86</v>
      </c>
      <c r="AC4" s="94"/>
      <c r="AD4" s="94"/>
      <c r="AE4" s="94"/>
      <c r="AF4" s="94"/>
      <c r="AG4" s="94"/>
      <c r="AH4" s="94"/>
      <c r="AI4" s="94"/>
      <c r="AJ4" s="94"/>
      <c r="AK4" s="91"/>
      <c r="AL4" s="104" t="s">
        <v>87</v>
      </c>
      <c r="AM4" s="94"/>
      <c r="AN4" s="94"/>
      <c r="AO4" s="94"/>
      <c r="AP4" s="91"/>
      <c r="AQ4" s="118" t="s">
        <v>88</v>
      </c>
      <c r="AR4" s="94"/>
      <c r="AS4" s="94"/>
      <c r="AT4" s="94"/>
      <c r="AU4" s="91"/>
      <c r="AV4" s="118" t="s">
        <v>89</v>
      </c>
      <c r="AW4" s="94"/>
      <c r="AX4" s="94"/>
      <c r="AY4" s="94"/>
      <c r="AZ4" s="91"/>
      <c r="BA4" s="118" t="s">
        <v>90</v>
      </c>
      <c r="BB4" s="94"/>
      <c r="BC4" s="94"/>
      <c r="BD4" s="94"/>
      <c r="BE4" s="91"/>
    </row>
    <row r="5" spans="1:59" ht="15" customHeight="1">
      <c r="A5" s="107"/>
      <c r="B5" s="108"/>
      <c r="C5" s="100"/>
      <c r="D5" s="100"/>
      <c r="E5" s="100"/>
      <c r="F5" s="100"/>
      <c r="G5" s="100"/>
      <c r="H5" s="109"/>
      <c r="I5" s="110"/>
      <c r="J5" s="100"/>
      <c r="K5" s="100"/>
      <c r="L5" s="100"/>
      <c r="M5" s="100"/>
      <c r="N5" s="100"/>
      <c r="O5" s="100"/>
      <c r="P5" s="106"/>
      <c r="R5" s="83"/>
      <c r="S5" s="83"/>
      <c r="T5" s="83"/>
      <c r="U5" s="83"/>
      <c r="V5" s="83"/>
      <c r="W5" s="83"/>
      <c r="X5" s="83"/>
      <c r="Y5" s="83"/>
      <c r="Z5" s="83"/>
      <c r="AA5" s="83"/>
      <c r="AB5" s="83" t="s">
        <v>91</v>
      </c>
      <c r="AC5" s="83" t="s">
        <v>92</v>
      </c>
      <c r="AD5" s="83" t="s">
        <v>91</v>
      </c>
      <c r="AE5" s="83" t="s">
        <v>92</v>
      </c>
      <c r="AF5" s="83" t="s">
        <v>91</v>
      </c>
      <c r="AG5" s="83" t="s">
        <v>92</v>
      </c>
      <c r="AH5" s="83" t="s">
        <v>91</v>
      </c>
      <c r="AI5" s="83" t="s">
        <v>92</v>
      </c>
      <c r="AJ5" s="83" t="s">
        <v>91</v>
      </c>
      <c r="AK5" s="83" t="s">
        <v>92</v>
      </c>
      <c r="AL5" s="83"/>
      <c r="AM5" s="83"/>
      <c r="AN5" s="83"/>
      <c r="AO5" s="83"/>
      <c r="AP5" s="83"/>
      <c r="AQ5" s="42"/>
      <c r="AR5" s="42"/>
      <c r="AS5" s="42"/>
      <c r="AT5" s="42"/>
      <c r="AU5" s="42"/>
      <c r="AV5" s="42"/>
      <c r="AW5" s="42"/>
      <c r="AX5" s="42"/>
      <c r="AY5" s="42"/>
      <c r="AZ5" s="42"/>
      <c r="BA5" s="42"/>
      <c r="BB5" s="42"/>
      <c r="BC5" s="42"/>
      <c r="BD5" s="42"/>
      <c r="BE5" s="42"/>
    </row>
    <row r="6" spans="1:59" ht="21" customHeight="1">
      <c r="A6" s="109"/>
      <c r="B6" s="110"/>
      <c r="C6" s="1"/>
      <c r="D6" s="1"/>
      <c r="E6" s="21" t="s">
        <v>47</v>
      </c>
      <c r="F6" s="21" t="s">
        <v>93</v>
      </c>
      <c r="G6" s="1" t="s">
        <v>49</v>
      </c>
      <c r="H6" s="99" t="s">
        <v>49</v>
      </c>
      <c r="I6" s="101"/>
      <c r="J6" s="99" t="s">
        <v>49</v>
      </c>
      <c r="K6" s="103"/>
      <c r="L6" s="103"/>
      <c r="M6" s="103"/>
      <c r="N6" s="101"/>
      <c r="O6" s="21" t="s">
        <v>50</v>
      </c>
      <c r="P6" s="100"/>
      <c r="R6" s="82">
        <v>1</v>
      </c>
      <c r="S6" s="82">
        <v>2</v>
      </c>
      <c r="T6" s="82">
        <v>3</v>
      </c>
      <c r="U6" s="82">
        <v>4</v>
      </c>
      <c r="V6" s="32" t="s">
        <v>94</v>
      </c>
      <c r="W6" s="82">
        <v>1</v>
      </c>
      <c r="X6" s="82">
        <v>2</v>
      </c>
      <c r="Y6" s="82">
        <v>3</v>
      </c>
      <c r="Z6" s="82">
        <v>4</v>
      </c>
      <c r="AA6" s="32" t="s">
        <v>94</v>
      </c>
      <c r="AB6" s="105">
        <v>1</v>
      </c>
      <c r="AC6" s="91"/>
      <c r="AD6" s="105">
        <v>2</v>
      </c>
      <c r="AE6" s="91"/>
      <c r="AF6" s="105">
        <v>3</v>
      </c>
      <c r="AG6" s="91"/>
      <c r="AH6" s="105">
        <v>4</v>
      </c>
      <c r="AI6" s="91"/>
      <c r="AJ6" s="112" t="s">
        <v>94</v>
      </c>
      <c r="AK6" s="91"/>
      <c r="AL6" s="82">
        <v>1</v>
      </c>
      <c r="AM6" s="82">
        <v>2</v>
      </c>
      <c r="AN6" s="82">
        <v>3</v>
      </c>
      <c r="AO6" s="82">
        <v>4</v>
      </c>
      <c r="AP6" s="32" t="s">
        <v>94</v>
      </c>
      <c r="AQ6" s="43">
        <v>1</v>
      </c>
      <c r="AR6" s="43">
        <v>2</v>
      </c>
      <c r="AS6" s="43">
        <v>3</v>
      </c>
      <c r="AT6" s="43">
        <v>4</v>
      </c>
      <c r="AU6" s="45" t="s">
        <v>94</v>
      </c>
      <c r="AV6" s="43">
        <v>1</v>
      </c>
      <c r="AW6" s="43">
        <v>2</v>
      </c>
      <c r="AX6" s="43">
        <v>3</v>
      </c>
      <c r="AY6" s="43">
        <v>4</v>
      </c>
      <c r="AZ6" s="45" t="s">
        <v>94</v>
      </c>
      <c r="BA6" s="43">
        <v>1</v>
      </c>
      <c r="BB6" s="43">
        <v>2</v>
      </c>
      <c r="BC6" s="43">
        <v>3</v>
      </c>
      <c r="BD6" s="43">
        <v>4</v>
      </c>
      <c r="BE6" s="45" t="s">
        <v>94</v>
      </c>
    </row>
    <row r="7" spans="1:59" ht="61.2" customHeight="1">
      <c r="A7" s="99" t="s">
        <v>51</v>
      </c>
      <c r="B7" s="101"/>
      <c r="C7" s="1">
        <f>V7</f>
        <v>4950000</v>
      </c>
      <c r="D7" s="1">
        <f>'Узел учета '!D5</f>
        <v>1825000</v>
      </c>
      <c r="E7" s="21"/>
      <c r="F7" s="21"/>
      <c r="G7" s="1"/>
      <c r="H7" s="84"/>
      <c r="I7" s="1"/>
      <c r="J7" s="1"/>
      <c r="K7" s="1"/>
      <c r="L7" s="22"/>
      <c r="M7" s="1"/>
      <c r="N7" s="1"/>
      <c r="O7" s="21"/>
      <c r="P7" s="1"/>
      <c r="R7" s="83">
        <f>'Структура пр 2'!B8</f>
        <v>1200000</v>
      </c>
      <c r="S7" s="83">
        <f>'Структура пр 2'!Q8</f>
        <v>1200000</v>
      </c>
      <c r="T7" s="83">
        <f>'Структура пр 2'!AF8</f>
        <v>1200000</v>
      </c>
      <c r="U7" s="83">
        <f>'Структура пр 2'!AU8</f>
        <v>1350000</v>
      </c>
      <c r="V7" s="33">
        <f t="shared" ref="V7:V15" si="0">U7+T7+S7+R7</f>
        <v>4950000</v>
      </c>
      <c r="W7" s="83">
        <f>'Структура пр 2'!E8</f>
        <v>0</v>
      </c>
      <c r="X7" s="83">
        <f>'Структура пр 2'!T8</f>
        <v>0</v>
      </c>
      <c r="Y7" s="83">
        <f>'Структура пр 2'!AI8</f>
        <v>0</v>
      </c>
      <c r="Z7" s="83">
        <f>'Структура пр 2'!AX8</f>
        <v>0</v>
      </c>
      <c r="AA7" s="33">
        <f t="shared" ref="AA7:AA15" si="1">Z7+Y7+X7+W7</f>
        <v>0</v>
      </c>
      <c r="AB7" s="83">
        <f>'Структура пр 2'!H8</f>
        <v>0</v>
      </c>
      <c r="AC7" s="83">
        <f>'Структура пр 2'!I8</f>
        <v>0</v>
      </c>
      <c r="AD7" s="83">
        <f>'Структура пр 2'!W8</f>
        <v>0</v>
      </c>
      <c r="AE7" s="83">
        <f>'Структура пр 2'!X8</f>
        <v>0</v>
      </c>
      <c r="AF7" s="83">
        <f>'Структура пр 2'!AL8</f>
        <v>0</v>
      </c>
      <c r="AG7" s="83">
        <f>'Структура пр 2'!AM8</f>
        <v>0</v>
      </c>
      <c r="AH7" s="83">
        <f>'Структура пр 2'!BA8</f>
        <v>0</v>
      </c>
      <c r="AI7" s="83">
        <f>'Структура пр 2'!BB8</f>
        <v>0</v>
      </c>
      <c r="AJ7" s="33">
        <f t="shared" ref="AJ7:AJ15" si="2">AH7+AF7+AD7+AB7</f>
        <v>0</v>
      </c>
      <c r="AK7" s="33">
        <f>'Структура пр 2'!BB8</f>
        <v>0</v>
      </c>
      <c r="AL7" s="83">
        <f>'Структура пр 2'!M8</f>
        <v>0</v>
      </c>
      <c r="AM7" s="83">
        <f>'Структура пр 2'!AB8</f>
        <v>0</v>
      </c>
      <c r="AN7" s="83">
        <f>'Структура пр 2'!AQ8</f>
        <v>0</v>
      </c>
      <c r="AO7" s="83">
        <f>'Структура пр 2'!BF8</f>
        <v>0</v>
      </c>
      <c r="AP7" s="33">
        <f t="shared" ref="AP7:AP15" si="3">AO7+AN7+AM7+AL7</f>
        <v>0</v>
      </c>
      <c r="AQ7" s="81">
        <f t="shared" ref="AQ7:AU14" si="4">R7/1000*0.123</f>
        <v>147.6</v>
      </c>
      <c r="AR7" s="81">
        <f t="shared" si="4"/>
        <v>147.6</v>
      </c>
      <c r="AS7" s="81">
        <f t="shared" si="4"/>
        <v>147.6</v>
      </c>
      <c r="AT7" s="81">
        <f t="shared" si="4"/>
        <v>166.05</v>
      </c>
      <c r="AU7" s="46">
        <f t="shared" si="4"/>
        <v>608.85</v>
      </c>
      <c r="AV7" s="81">
        <f t="shared" ref="AV7:AZ14" si="5">W7*1.16</f>
        <v>0</v>
      </c>
      <c r="AW7" s="81">
        <f t="shared" si="5"/>
        <v>0</v>
      </c>
      <c r="AX7" s="81">
        <f t="shared" si="5"/>
        <v>0</v>
      </c>
      <c r="AY7" s="81">
        <f t="shared" si="5"/>
        <v>0</v>
      </c>
      <c r="AZ7" s="46">
        <f t="shared" si="5"/>
        <v>0</v>
      </c>
      <c r="BA7" s="81">
        <f t="shared" ref="BA7:BE14" si="6">AQ7+AV7</f>
        <v>147.6</v>
      </c>
      <c r="BB7" s="81">
        <f t="shared" si="6"/>
        <v>147.6</v>
      </c>
      <c r="BC7" s="81">
        <f t="shared" si="6"/>
        <v>147.6</v>
      </c>
      <c r="BD7" s="81">
        <f t="shared" si="6"/>
        <v>166.05</v>
      </c>
      <c r="BE7" s="46">
        <f t="shared" si="6"/>
        <v>608.85</v>
      </c>
      <c r="BF7" s="99" t="s">
        <v>51</v>
      </c>
      <c r="BG7" s="101"/>
    </row>
    <row r="8" spans="1:59" ht="57.6" customHeight="1">
      <c r="A8" s="99" t="s">
        <v>95</v>
      </c>
      <c r="B8" s="101"/>
      <c r="C8" s="99"/>
      <c r="D8" s="101"/>
      <c r="E8" s="21"/>
      <c r="F8" s="1"/>
      <c r="G8" s="1"/>
      <c r="H8" s="84"/>
      <c r="I8" s="1"/>
      <c r="J8" s="1"/>
      <c r="K8" s="1"/>
      <c r="L8" s="22"/>
      <c r="M8" s="1"/>
      <c r="N8" s="1"/>
      <c r="O8" s="21"/>
      <c r="P8" s="1"/>
      <c r="R8" s="83">
        <f>'Структура пр 2'!B9</f>
        <v>0</v>
      </c>
      <c r="S8" s="83">
        <f>'Структура пр 2'!Q9</f>
        <v>0</v>
      </c>
      <c r="T8" s="83">
        <f>'Структура пр 2'!AF9</f>
        <v>0</v>
      </c>
      <c r="U8" s="83">
        <f>'Структура пр 2'!AU9</f>
        <v>0</v>
      </c>
      <c r="V8" s="33">
        <f t="shared" si="0"/>
        <v>0</v>
      </c>
      <c r="W8" s="83">
        <f>'Структура пр 2'!E9</f>
        <v>0</v>
      </c>
      <c r="X8" s="83">
        <f>'Структура пр 2'!T9</f>
        <v>0</v>
      </c>
      <c r="Y8" s="83">
        <f>'Структура пр 2'!AI9</f>
        <v>0</v>
      </c>
      <c r="Z8" s="83">
        <f>'Структура пр 2'!AX9</f>
        <v>0</v>
      </c>
      <c r="AA8" s="33">
        <f t="shared" si="1"/>
        <v>0</v>
      </c>
      <c r="AB8" s="83">
        <f>'Структура пр 2'!H9</f>
        <v>0</v>
      </c>
      <c r="AC8" s="83">
        <f>'Структура пр 2'!I9</f>
        <v>0</v>
      </c>
      <c r="AD8" s="83">
        <f>'Структура пр 2'!W9</f>
        <v>0</v>
      </c>
      <c r="AE8" s="83">
        <f>'Структура пр 2'!X9</f>
        <v>0</v>
      </c>
      <c r="AF8" s="83">
        <f>'Структура пр 2'!AL9</f>
        <v>0</v>
      </c>
      <c r="AG8" s="83">
        <f>'Структура пр 2'!AM9</f>
        <v>0</v>
      </c>
      <c r="AH8" s="83">
        <f>'Структура пр 2'!BA9</f>
        <v>0</v>
      </c>
      <c r="AI8" s="83">
        <f>'Структура пр 2'!BB9</f>
        <v>0</v>
      </c>
      <c r="AJ8" s="33">
        <f t="shared" si="2"/>
        <v>0</v>
      </c>
      <c r="AK8" s="33">
        <f>'Структура пр 2'!BB9</f>
        <v>0</v>
      </c>
      <c r="AL8" s="83">
        <f>'Структура пр 2'!M9</f>
        <v>0</v>
      </c>
      <c r="AM8" s="83">
        <f>'Структура пр 2'!AB9</f>
        <v>0</v>
      </c>
      <c r="AN8" s="83">
        <f>'Структура пр 2'!AQ9</f>
        <v>0</v>
      </c>
      <c r="AO8" s="83">
        <f>'Структура пр 2'!BF9</f>
        <v>0</v>
      </c>
      <c r="AP8" s="33">
        <f t="shared" si="3"/>
        <v>0</v>
      </c>
      <c r="AQ8" s="81">
        <f t="shared" si="4"/>
        <v>0</v>
      </c>
      <c r="AR8" s="81">
        <f t="shared" si="4"/>
        <v>0</v>
      </c>
      <c r="AS8" s="81">
        <f t="shared" si="4"/>
        <v>0</v>
      </c>
      <c r="AT8" s="81">
        <f t="shared" si="4"/>
        <v>0</v>
      </c>
      <c r="AU8" s="46">
        <f t="shared" si="4"/>
        <v>0</v>
      </c>
      <c r="AV8" s="81">
        <f t="shared" si="5"/>
        <v>0</v>
      </c>
      <c r="AW8" s="81">
        <f t="shared" si="5"/>
        <v>0</v>
      </c>
      <c r="AX8" s="81">
        <f t="shared" si="5"/>
        <v>0</v>
      </c>
      <c r="AY8" s="81">
        <f t="shared" si="5"/>
        <v>0</v>
      </c>
      <c r="AZ8" s="46">
        <f t="shared" si="5"/>
        <v>0</v>
      </c>
      <c r="BA8" s="81">
        <f t="shared" si="6"/>
        <v>0</v>
      </c>
      <c r="BB8" s="81">
        <f t="shared" si="6"/>
        <v>0</v>
      </c>
      <c r="BC8" s="81">
        <f t="shared" si="6"/>
        <v>0</v>
      </c>
      <c r="BD8" s="81">
        <f t="shared" si="6"/>
        <v>0</v>
      </c>
      <c r="BE8" s="46">
        <f t="shared" si="6"/>
        <v>0</v>
      </c>
      <c r="BF8" s="99" t="s">
        <v>95</v>
      </c>
      <c r="BG8" s="101"/>
    </row>
    <row r="9" spans="1:59" ht="67.2" customHeight="1">
      <c r="A9" s="99" t="s">
        <v>53</v>
      </c>
      <c r="B9" s="101"/>
      <c r="C9" s="96">
        <f t="shared" ref="C9:C14" si="7">V9</f>
        <v>4089411</v>
      </c>
      <c r="D9" s="97"/>
      <c r="E9" s="21"/>
      <c r="F9" s="21">
        <f>AA9</f>
        <v>30.911000000000001</v>
      </c>
      <c r="G9" s="1"/>
      <c r="H9" s="84"/>
      <c r="I9" s="1"/>
      <c r="J9" s="1"/>
      <c r="K9" s="1"/>
      <c r="L9" s="22"/>
      <c r="M9" s="1"/>
      <c r="N9" s="1"/>
      <c r="O9" s="21"/>
      <c r="P9" s="1"/>
      <c r="R9" s="83">
        <f>'Структура пр 2'!B10</f>
        <v>1012524</v>
      </c>
      <c r="S9" s="83">
        <f>'Структура пр 2'!Q10</f>
        <v>917947</v>
      </c>
      <c r="T9" s="83">
        <f>'Структура пр 2'!AF10</f>
        <v>1112517</v>
      </c>
      <c r="U9" s="83">
        <f>'Структура пр 2'!AU10</f>
        <v>1046423</v>
      </c>
      <c r="V9" s="33">
        <f t="shared" si="0"/>
        <v>4089411</v>
      </c>
      <c r="W9" s="83">
        <f>'Структура пр 2'!E10</f>
        <v>15.667</v>
      </c>
      <c r="X9" s="83">
        <f>'Структура пр 2'!T10</f>
        <v>3.7360000000000002</v>
      </c>
      <c r="Y9" s="83">
        <f>'Структура пр 2'!AI10</f>
        <v>2.4870000000000001</v>
      </c>
      <c r="Z9" s="83">
        <f>'Структура пр 2'!AX10</f>
        <v>9.0210000000000008</v>
      </c>
      <c r="AA9" s="33">
        <f t="shared" si="1"/>
        <v>30.911000000000001</v>
      </c>
      <c r="AB9" s="83">
        <f>'Структура пр 2'!H10</f>
        <v>0</v>
      </c>
      <c r="AC9" s="83">
        <f>'Структура пр 2'!I10</f>
        <v>0</v>
      </c>
      <c r="AD9" s="83">
        <f>'Структура пр 2'!W10</f>
        <v>0</v>
      </c>
      <c r="AE9" s="83">
        <f>'Структура пр 2'!X10</f>
        <v>0</v>
      </c>
      <c r="AF9" s="83">
        <f>'Структура пр 2'!AL10</f>
        <v>0</v>
      </c>
      <c r="AG9" s="83">
        <f>'Структура пр 2'!AM10</f>
        <v>0</v>
      </c>
      <c r="AH9" s="83">
        <f>'Структура пр 2'!BA10</f>
        <v>0</v>
      </c>
      <c r="AI9" s="83">
        <f>'Структура пр 2'!BB10</f>
        <v>0</v>
      </c>
      <c r="AJ9" s="33">
        <f t="shared" si="2"/>
        <v>0</v>
      </c>
      <c r="AK9" s="33">
        <f>'Структура пр 2'!BB10</f>
        <v>0</v>
      </c>
      <c r="AL9" s="83">
        <f>'Структура пр 2'!M10</f>
        <v>2400</v>
      </c>
      <c r="AM9" s="83">
        <f>'Структура пр 2'!AB10</f>
        <v>2400</v>
      </c>
      <c r="AN9" s="83">
        <f>'Структура пр 2'!AQ10</f>
        <v>2675</v>
      </c>
      <c r="AO9" s="83">
        <f>'Структура пр 2'!BF10</f>
        <v>2400</v>
      </c>
      <c r="AP9" s="33">
        <f t="shared" si="3"/>
        <v>9875</v>
      </c>
      <c r="AQ9" s="44">
        <f t="shared" si="4"/>
        <v>124.540452</v>
      </c>
      <c r="AR9" s="44">
        <f t="shared" si="4"/>
        <v>112.907481</v>
      </c>
      <c r="AS9" s="44">
        <f t="shared" si="4"/>
        <v>136.83959100000001</v>
      </c>
      <c r="AT9" s="44">
        <f t="shared" si="4"/>
        <v>128.71002899999999</v>
      </c>
      <c r="AU9" s="47">
        <f t="shared" si="4"/>
        <v>502.99755299999998</v>
      </c>
      <c r="AV9" s="44">
        <f t="shared" si="5"/>
        <v>18.173719999999999</v>
      </c>
      <c r="AW9" s="44">
        <f t="shared" si="5"/>
        <v>4.3337599999999998</v>
      </c>
      <c r="AX9" s="44">
        <f t="shared" si="5"/>
        <v>2.8849199999999997</v>
      </c>
      <c r="AY9" s="44">
        <f t="shared" si="5"/>
        <v>10.464360000000001</v>
      </c>
      <c r="AZ9" s="47">
        <f t="shared" si="5"/>
        <v>35.856760000000001</v>
      </c>
      <c r="BA9" s="44">
        <f t="shared" si="6"/>
        <v>142.71417199999999</v>
      </c>
      <c r="BB9" s="44">
        <f t="shared" si="6"/>
        <v>117.241241</v>
      </c>
      <c r="BC9" s="44">
        <f t="shared" si="6"/>
        <v>139.72451100000001</v>
      </c>
      <c r="BD9" s="44">
        <f t="shared" si="6"/>
        <v>139.17438899999999</v>
      </c>
      <c r="BE9" s="47">
        <f t="shared" si="6"/>
        <v>538.85431299999993</v>
      </c>
      <c r="BF9" s="99" t="s">
        <v>53</v>
      </c>
      <c r="BG9" s="101"/>
    </row>
    <row r="10" spans="1:59" ht="67.2" customHeight="1">
      <c r="A10" s="99" t="s">
        <v>96</v>
      </c>
      <c r="B10" s="101"/>
      <c r="C10" s="96">
        <f t="shared" si="7"/>
        <v>3213353</v>
      </c>
      <c r="D10" s="97"/>
      <c r="E10" s="21"/>
      <c r="F10" s="21"/>
      <c r="G10" s="1"/>
      <c r="H10" s="84"/>
      <c r="I10" s="1"/>
      <c r="J10" s="1"/>
      <c r="K10" s="1"/>
      <c r="L10" s="22"/>
      <c r="M10" s="1"/>
      <c r="N10" s="1"/>
      <c r="O10" s="21"/>
      <c r="P10" s="1"/>
      <c r="R10" s="23">
        <f>'Структура пр 2'!B11</f>
        <v>795615</v>
      </c>
      <c r="S10" s="23">
        <f>'Структура пр 2'!Q11</f>
        <v>721299</v>
      </c>
      <c r="T10" s="23">
        <f>'Структура пр 2'!AF11</f>
        <v>874187</v>
      </c>
      <c r="U10" s="23">
        <f>'Структура пр 2'!AU11</f>
        <v>822252</v>
      </c>
      <c r="V10" s="33">
        <f t="shared" si="0"/>
        <v>3213353</v>
      </c>
      <c r="W10" s="83">
        <f>'Структура пр 2'!E11</f>
        <v>0</v>
      </c>
      <c r="X10" s="83">
        <f>'Структура пр 2'!T11</f>
        <v>0</v>
      </c>
      <c r="Y10" s="83">
        <f>'Структура пр 2'!AI11</f>
        <v>0</v>
      </c>
      <c r="Z10" s="83">
        <f>'Структура пр 2'!AX11</f>
        <v>0</v>
      </c>
      <c r="AA10" s="33">
        <f t="shared" si="1"/>
        <v>0</v>
      </c>
      <c r="AB10" s="83">
        <f>'Структура пр 2'!H11</f>
        <v>0</v>
      </c>
      <c r="AC10" s="83">
        <f>'Структура пр 2'!I11</f>
        <v>0</v>
      </c>
      <c r="AD10" s="83">
        <f>'Структура пр 2'!W11</f>
        <v>0</v>
      </c>
      <c r="AE10" s="83">
        <f>'Структура пр 2'!X11</f>
        <v>0</v>
      </c>
      <c r="AF10" s="83">
        <f>'Структура пр 2'!AL11</f>
        <v>0</v>
      </c>
      <c r="AG10" s="83">
        <f>'Структура пр 2'!AM11</f>
        <v>0</v>
      </c>
      <c r="AH10" s="83">
        <f>'Структура пр 2'!BA11</f>
        <v>0</v>
      </c>
      <c r="AI10" s="83">
        <f>'Структура пр 2'!BB11</f>
        <v>0</v>
      </c>
      <c r="AJ10" s="33">
        <f t="shared" si="2"/>
        <v>0</v>
      </c>
      <c r="AK10" s="33">
        <f>'Структура пр 2'!BB11</f>
        <v>0</v>
      </c>
      <c r="AL10" s="83">
        <f>'Структура пр 2'!M11</f>
        <v>0</v>
      </c>
      <c r="AM10" s="287">
        <f>'Структура пр 2'!AB11</f>
        <v>0</v>
      </c>
      <c r="AN10" s="287">
        <f>'Структура пр 2'!AQ11</f>
        <v>0</v>
      </c>
      <c r="AO10" s="83">
        <f>'Структура пр 2'!BF11</f>
        <v>0</v>
      </c>
      <c r="AP10" s="33">
        <f t="shared" si="3"/>
        <v>0</v>
      </c>
      <c r="AQ10" s="44">
        <f t="shared" si="4"/>
        <v>97.860645000000005</v>
      </c>
      <c r="AR10" s="44">
        <f t="shared" si="4"/>
        <v>88.719776999999993</v>
      </c>
      <c r="AS10" s="44">
        <f t="shared" si="4"/>
        <v>107.525001</v>
      </c>
      <c r="AT10" s="44">
        <f t="shared" si="4"/>
        <v>101.136996</v>
      </c>
      <c r="AU10" s="47">
        <f t="shared" si="4"/>
        <v>395.24241899999998</v>
      </c>
      <c r="AV10" s="44">
        <f t="shared" si="5"/>
        <v>0</v>
      </c>
      <c r="AW10" s="44">
        <f t="shared" si="5"/>
        <v>0</v>
      </c>
      <c r="AX10" s="44">
        <f t="shared" si="5"/>
        <v>0</v>
      </c>
      <c r="AY10" s="44">
        <f t="shared" si="5"/>
        <v>0</v>
      </c>
      <c r="AZ10" s="47">
        <f t="shared" si="5"/>
        <v>0</v>
      </c>
      <c r="BA10" s="44">
        <f t="shared" si="6"/>
        <v>97.860645000000005</v>
      </c>
      <c r="BB10" s="44">
        <f t="shared" si="6"/>
        <v>88.719776999999993</v>
      </c>
      <c r="BC10" s="44">
        <f t="shared" si="6"/>
        <v>107.525001</v>
      </c>
      <c r="BD10" s="44">
        <f t="shared" si="6"/>
        <v>101.136996</v>
      </c>
      <c r="BE10" s="47">
        <f t="shared" si="6"/>
        <v>395.24241899999998</v>
      </c>
      <c r="BF10" s="99" t="s">
        <v>96</v>
      </c>
      <c r="BG10" s="101"/>
    </row>
    <row r="11" spans="1:59" ht="66" customHeight="1">
      <c r="A11" s="99" t="s">
        <v>97</v>
      </c>
      <c r="B11" s="101"/>
      <c r="C11" s="96">
        <f t="shared" si="7"/>
        <v>81787</v>
      </c>
      <c r="D11" s="97"/>
      <c r="E11" s="21"/>
      <c r="F11" s="21">
        <f>AA11</f>
        <v>5.1840000000000002</v>
      </c>
      <c r="G11" s="1"/>
      <c r="H11" s="84"/>
      <c r="I11" s="1"/>
      <c r="J11" s="1"/>
      <c r="K11" s="1"/>
      <c r="L11" s="22"/>
      <c r="M11" s="1"/>
      <c r="N11" s="1"/>
      <c r="O11" s="21"/>
      <c r="P11" s="1"/>
      <c r="R11" s="83">
        <f>'Структура пр 2'!B12</f>
        <v>20250</v>
      </c>
      <c r="S11" s="83">
        <f>'Структура пр 2'!Q12</f>
        <v>18359</v>
      </c>
      <c r="T11" s="83">
        <f>'Структура пр 2'!AF12</f>
        <v>22250</v>
      </c>
      <c r="U11" s="83">
        <f>'Структура пр 2'!AU12</f>
        <v>20928</v>
      </c>
      <c r="V11" s="33">
        <f t="shared" si="0"/>
        <v>81787</v>
      </c>
      <c r="W11" s="83">
        <f>'Структура пр 2'!E12</f>
        <v>1.296</v>
      </c>
      <c r="X11" s="83">
        <f>'Структура пр 2'!T12</f>
        <v>1.296</v>
      </c>
      <c r="Y11" s="83">
        <f>'Структура пр 2'!AI12</f>
        <v>1.296</v>
      </c>
      <c r="Z11" s="83">
        <f>'Структура пр 2'!AX12</f>
        <v>1.296</v>
      </c>
      <c r="AA11" s="33">
        <f t="shared" si="1"/>
        <v>5.1840000000000002</v>
      </c>
      <c r="AB11" s="83">
        <f>'Структура пр 2'!H12</f>
        <v>0</v>
      </c>
      <c r="AC11" s="83">
        <f>'Структура пр 2'!I12</f>
        <v>0</v>
      </c>
      <c r="AD11" s="83">
        <f>'Структура пр 2'!W12</f>
        <v>0</v>
      </c>
      <c r="AE11" s="83">
        <f>'Структура пр 2'!X12</f>
        <v>0</v>
      </c>
      <c r="AF11" s="83">
        <f>'Структура пр 2'!AL12</f>
        <v>0</v>
      </c>
      <c r="AG11" s="83">
        <f>'Структура пр 2'!AM12</f>
        <v>0</v>
      </c>
      <c r="AH11" s="83">
        <f>'Структура пр 2'!BA12</f>
        <v>0</v>
      </c>
      <c r="AI11" s="83">
        <f>'Структура пр 2'!BB12</f>
        <v>0</v>
      </c>
      <c r="AJ11" s="33">
        <f t="shared" si="2"/>
        <v>0</v>
      </c>
      <c r="AK11" s="33">
        <f>'Структура пр 2'!BB12</f>
        <v>0</v>
      </c>
      <c r="AL11" s="83">
        <f>'Структура пр 2'!M12</f>
        <v>2400</v>
      </c>
      <c r="AM11" s="83">
        <f>'Структура пр 2'!AB12</f>
        <v>2400</v>
      </c>
      <c r="AN11" s="83">
        <f>'Структура пр 2'!AQ12</f>
        <v>2675</v>
      </c>
      <c r="AO11" s="83">
        <f>'Структура пр 2'!BF12</f>
        <v>1575</v>
      </c>
      <c r="AP11" s="33">
        <f t="shared" si="3"/>
        <v>9050</v>
      </c>
      <c r="AQ11" s="44">
        <f t="shared" si="4"/>
        <v>2.4907499999999998</v>
      </c>
      <c r="AR11" s="44">
        <f t="shared" si="4"/>
        <v>2.2581570000000002</v>
      </c>
      <c r="AS11" s="44">
        <f t="shared" si="4"/>
        <v>2.7367499999999998</v>
      </c>
      <c r="AT11" s="44">
        <f t="shared" si="4"/>
        <v>2.574144</v>
      </c>
      <c r="AU11" s="47">
        <f t="shared" si="4"/>
        <v>10.059801</v>
      </c>
      <c r="AV11" s="44">
        <f t="shared" si="5"/>
        <v>1.50336</v>
      </c>
      <c r="AW11" s="44">
        <f t="shared" si="5"/>
        <v>1.50336</v>
      </c>
      <c r="AX11" s="44">
        <f t="shared" si="5"/>
        <v>1.50336</v>
      </c>
      <c r="AY11" s="44">
        <f t="shared" si="5"/>
        <v>1.50336</v>
      </c>
      <c r="AZ11" s="47">
        <f t="shared" si="5"/>
        <v>6.0134400000000001</v>
      </c>
      <c r="BA11" s="44">
        <f t="shared" si="6"/>
        <v>3.99411</v>
      </c>
      <c r="BB11" s="44">
        <f t="shared" si="6"/>
        <v>3.7615170000000004</v>
      </c>
      <c r="BC11" s="44">
        <f t="shared" si="6"/>
        <v>4.2401099999999996</v>
      </c>
      <c r="BD11" s="44">
        <f t="shared" si="6"/>
        <v>4.0775040000000002</v>
      </c>
      <c r="BE11" s="47">
        <f t="shared" si="6"/>
        <v>16.073240999999999</v>
      </c>
      <c r="BF11" s="99" t="s">
        <v>97</v>
      </c>
      <c r="BG11" s="101"/>
    </row>
    <row r="12" spans="1:59" ht="55.95" customHeight="1">
      <c r="A12" s="99" t="s">
        <v>98</v>
      </c>
      <c r="B12" s="101"/>
      <c r="C12" s="96">
        <f t="shared" si="7"/>
        <v>752667</v>
      </c>
      <c r="D12" s="97"/>
      <c r="E12" s="21"/>
      <c r="F12" s="21"/>
      <c r="G12" s="1"/>
      <c r="H12" s="84"/>
      <c r="I12" s="1"/>
      <c r="J12" s="1"/>
      <c r="K12" s="1"/>
      <c r="L12" s="22"/>
      <c r="M12" s="1"/>
      <c r="N12" s="1"/>
      <c r="O12" s="21"/>
      <c r="P12" s="1"/>
      <c r="R12" s="83">
        <f>'Структура пр 2'!B13</f>
        <v>186358</v>
      </c>
      <c r="S12" s="83">
        <f>'Структура пр 2'!Q13</f>
        <v>168950</v>
      </c>
      <c r="T12" s="83">
        <f>'Структура пр 2'!AF13</f>
        <v>204762</v>
      </c>
      <c r="U12" s="83">
        <f>'Структура пр 2'!AU13</f>
        <v>192597</v>
      </c>
      <c r="V12" s="33">
        <f t="shared" si="0"/>
        <v>752667</v>
      </c>
      <c r="W12" s="83">
        <f>'Структура пр 2'!E13</f>
        <v>0</v>
      </c>
      <c r="X12" s="83">
        <f>'Структура пр 2'!T13</f>
        <v>0</v>
      </c>
      <c r="Y12" s="83">
        <f>'Структура пр 2'!AI13</f>
        <v>0</v>
      </c>
      <c r="Z12" s="83">
        <f>'Структура пр 2'!AX13</f>
        <v>0</v>
      </c>
      <c r="AA12" s="33">
        <f t="shared" si="1"/>
        <v>0</v>
      </c>
      <c r="AB12" s="83">
        <f>'Структура пр 2'!H13</f>
        <v>0</v>
      </c>
      <c r="AC12" s="83">
        <f>'Структура пр 2'!I13</f>
        <v>0</v>
      </c>
      <c r="AD12" s="83">
        <f>'Структура пр 2'!W13</f>
        <v>0</v>
      </c>
      <c r="AE12" s="83">
        <f>'Структура пр 2'!X13</f>
        <v>0</v>
      </c>
      <c r="AF12" s="83">
        <f>'Структура пр 2'!AL13</f>
        <v>0</v>
      </c>
      <c r="AG12" s="83">
        <f>'Структура пр 2'!AM13</f>
        <v>0</v>
      </c>
      <c r="AH12" s="83">
        <f>'Структура пр 2'!BA13</f>
        <v>0</v>
      </c>
      <c r="AI12" s="83">
        <f>'Структура пр 2'!BB13</f>
        <v>0</v>
      </c>
      <c r="AJ12" s="33">
        <f t="shared" si="2"/>
        <v>0</v>
      </c>
      <c r="AK12" s="33">
        <f>'Структура пр 2'!BB13</f>
        <v>0</v>
      </c>
      <c r="AL12" s="83">
        <f>'Структура пр 2'!M13</f>
        <v>0</v>
      </c>
      <c r="AM12" s="83">
        <f>'Структура пр 2'!AB13</f>
        <v>0</v>
      </c>
      <c r="AN12" s="83">
        <f>'Структура пр 2'!AQ13</f>
        <v>0</v>
      </c>
      <c r="AO12" s="83">
        <f>'Структура пр 2'!BF13</f>
        <v>0</v>
      </c>
      <c r="AP12" s="33">
        <f t="shared" si="3"/>
        <v>0</v>
      </c>
      <c r="AQ12" s="44">
        <f t="shared" si="4"/>
        <v>22.922034</v>
      </c>
      <c r="AR12" s="44">
        <f t="shared" si="4"/>
        <v>20.780849999999997</v>
      </c>
      <c r="AS12" s="44">
        <f t="shared" si="4"/>
        <v>25.185725999999999</v>
      </c>
      <c r="AT12" s="44">
        <f t="shared" si="4"/>
        <v>23.689430999999999</v>
      </c>
      <c r="AU12" s="47">
        <f t="shared" si="4"/>
        <v>92.578040999999999</v>
      </c>
      <c r="AV12" s="44">
        <f t="shared" si="5"/>
        <v>0</v>
      </c>
      <c r="AW12" s="44">
        <f t="shared" si="5"/>
        <v>0</v>
      </c>
      <c r="AX12" s="44">
        <f t="shared" si="5"/>
        <v>0</v>
      </c>
      <c r="AY12" s="44">
        <f t="shared" si="5"/>
        <v>0</v>
      </c>
      <c r="AZ12" s="47">
        <f t="shared" si="5"/>
        <v>0</v>
      </c>
      <c r="BA12" s="44">
        <f t="shared" si="6"/>
        <v>22.922034</v>
      </c>
      <c r="BB12" s="44">
        <f t="shared" si="6"/>
        <v>20.780849999999997</v>
      </c>
      <c r="BC12" s="44">
        <f t="shared" si="6"/>
        <v>25.185725999999999</v>
      </c>
      <c r="BD12" s="44">
        <f t="shared" si="6"/>
        <v>23.689430999999999</v>
      </c>
      <c r="BE12" s="47">
        <f t="shared" si="6"/>
        <v>92.578040999999999</v>
      </c>
      <c r="BF12" s="99" t="s">
        <v>98</v>
      </c>
      <c r="BG12" s="101"/>
    </row>
    <row r="13" spans="1:59" ht="63" customHeight="1">
      <c r="A13" s="99" t="s">
        <v>99</v>
      </c>
      <c r="B13" s="101"/>
      <c r="C13" s="96">
        <f t="shared" si="7"/>
        <v>41604</v>
      </c>
      <c r="D13" s="97"/>
      <c r="E13" s="21"/>
      <c r="F13" s="21">
        <f>AA13</f>
        <v>25.727</v>
      </c>
      <c r="G13" s="1"/>
      <c r="H13" s="84"/>
      <c r="I13" s="1"/>
      <c r="J13" s="1"/>
      <c r="K13" s="1"/>
      <c r="L13" s="22"/>
      <c r="M13" s="1"/>
      <c r="N13" s="1"/>
      <c r="O13" s="21"/>
      <c r="P13" s="1"/>
      <c r="R13" s="83">
        <f>'Структура пр 2'!B14</f>
        <v>10301</v>
      </c>
      <c r="S13" s="83">
        <f>'Структура пр 2'!Q14</f>
        <v>9339</v>
      </c>
      <c r="T13" s="83">
        <f>'Структура пр 2'!AF14</f>
        <v>11318</v>
      </c>
      <c r="U13" s="83">
        <f>'Структура пр 2'!AU14</f>
        <v>10646</v>
      </c>
      <c r="V13" s="33">
        <f t="shared" si="0"/>
        <v>41604</v>
      </c>
      <c r="W13" s="83">
        <f>'Структура пр 2'!E14</f>
        <v>14.371</v>
      </c>
      <c r="X13" s="83">
        <f>'Структура пр 2'!T14</f>
        <v>2.44</v>
      </c>
      <c r="Y13" s="83">
        <f>'Структура пр 2'!AI14</f>
        <v>1.1910000000000001</v>
      </c>
      <c r="Z13" s="83">
        <f>'Структура пр 2'!AX14</f>
        <v>7.7249999999999996</v>
      </c>
      <c r="AA13" s="33">
        <f t="shared" si="1"/>
        <v>25.727</v>
      </c>
      <c r="AB13" s="83">
        <f>'Структура пр 2'!H14</f>
        <v>0</v>
      </c>
      <c r="AC13" s="83">
        <f>'Структура пр 2'!I14</f>
        <v>0</v>
      </c>
      <c r="AD13" s="83">
        <f>'Структура пр 2'!AL14</f>
        <v>0</v>
      </c>
      <c r="AE13" s="83">
        <f>'Структура пр 2'!X14</f>
        <v>0</v>
      </c>
      <c r="AF13" s="83">
        <f>'Структура пр 2'!AL14</f>
        <v>0</v>
      </c>
      <c r="AG13" s="83">
        <f>'Структура пр 2'!AM14</f>
        <v>0</v>
      </c>
      <c r="AH13" s="83">
        <f>'Структура пр 2'!BA14</f>
        <v>0</v>
      </c>
      <c r="AI13" s="83">
        <f>'Структура пр 2'!BB14</f>
        <v>0</v>
      </c>
      <c r="AJ13" s="33">
        <f t="shared" si="2"/>
        <v>0</v>
      </c>
      <c r="AK13" s="33">
        <f>'Структура пр 2'!BB14</f>
        <v>0</v>
      </c>
      <c r="AL13" s="83">
        <f>'Структура пр 2'!M14</f>
        <v>0</v>
      </c>
      <c r="AM13" s="83">
        <f>'Структура пр 2'!AB14</f>
        <v>0</v>
      </c>
      <c r="AN13" s="83">
        <f>'Структура пр 2'!AQ14</f>
        <v>0</v>
      </c>
      <c r="AO13" s="83">
        <f>'Структура пр 2'!BF14</f>
        <v>0</v>
      </c>
      <c r="AP13" s="33">
        <f t="shared" si="3"/>
        <v>0</v>
      </c>
      <c r="AQ13" s="44">
        <f t="shared" si="4"/>
        <v>1.267023</v>
      </c>
      <c r="AR13" s="44">
        <f t="shared" si="4"/>
        <v>1.1486970000000001</v>
      </c>
      <c r="AS13" s="44">
        <f t="shared" si="4"/>
        <v>1.3921139999999999</v>
      </c>
      <c r="AT13" s="44">
        <f t="shared" si="4"/>
        <v>1.309458</v>
      </c>
      <c r="AU13" s="47">
        <f t="shared" si="4"/>
        <v>5.117292</v>
      </c>
      <c r="AV13" s="44">
        <f t="shared" si="5"/>
        <v>16.670359999999999</v>
      </c>
      <c r="AW13" s="44">
        <f t="shared" si="5"/>
        <v>2.8303999999999996</v>
      </c>
      <c r="AX13" s="44">
        <f t="shared" si="5"/>
        <v>1.3815599999999999</v>
      </c>
      <c r="AY13" s="44">
        <f t="shared" si="5"/>
        <v>8.9609999999999985</v>
      </c>
      <c r="AZ13" s="47">
        <f t="shared" si="5"/>
        <v>29.843319999999999</v>
      </c>
      <c r="BA13" s="44">
        <f t="shared" si="6"/>
        <v>17.937382999999997</v>
      </c>
      <c r="BB13" s="44">
        <f t="shared" si="6"/>
        <v>3.9790969999999994</v>
      </c>
      <c r="BC13" s="44">
        <f t="shared" si="6"/>
        <v>2.7736739999999998</v>
      </c>
      <c r="BD13" s="44">
        <f t="shared" si="6"/>
        <v>10.270457999999998</v>
      </c>
      <c r="BE13" s="47">
        <f t="shared" si="6"/>
        <v>34.960611999999998</v>
      </c>
      <c r="BF13" s="99" t="s">
        <v>99</v>
      </c>
      <c r="BG13" s="101"/>
    </row>
    <row r="14" spans="1:59" ht="103.95" customHeight="1" thickBot="1">
      <c r="A14" s="99" t="s">
        <v>58</v>
      </c>
      <c r="B14" s="101"/>
      <c r="C14" s="96">
        <f t="shared" si="7"/>
        <v>3966020</v>
      </c>
      <c r="D14" s="97"/>
      <c r="E14" s="21"/>
      <c r="F14" s="21">
        <f>AA14</f>
        <v>0</v>
      </c>
      <c r="G14" s="1"/>
      <c r="H14" s="84"/>
      <c r="I14" s="1"/>
      <c r="J14" s="1">
        <f>AK14</f>
        <v>0</v>
      </c>
      <c r="K14" s="1">
        <f>AJ14</f>
        <v>0</v>
      </c>
      <c r="L14" s="22"/>
      <c r="M14" s="1"/>
      <c r="N14" s="1"/>
      <c r="O14" s="21">
        <f>AP14</f>
        <v>0</v>
      </c>
      <c r="P14" s="1"/>
      <c r="R14" s="83">
        <f>'Структура пр 2'!B15</f>
        <v>981973</v>
      </c>
      <c r="S14" s="83">
        <f>'Структура пр 2'!Q15</f>
        <v>890249</v>
      </c>
      <c r="T14" s="83">
        <f>'Структура пр 2'!AF15</f>
        <v>1078949</v>
      </c>
      <c r="U14" s="83">
        <f>'Структура пр 2'!AU15</f>
        <v>1014849</v>
      </c>
      <c r="V14" s="33">
        <f t="shared" si="0"/>
        <v>3966020</v>
      </c>
      <c r="W14" s="83">
        <f>'Структура пр 2'!D15</f>
        <v>0</v>
      </c>
      <c r="X14" s="83">
        <f>'Структура пр 2'!T15</f>
        <v>0</v>
      </c>
      <c r="Y14" s="83">
        <f>'Структура пр 2'!AI15</f>
        <v>0</v>
      </c>
      <c r="Z14" s="83">
        <f>'Структура пр 2'!AW15</f>
        <v>0</v>
      </c>
      <c r="AA14" s="33">
        <f t="shared" si="1"/>
        <v>0</v>
      </c>
      <c r="AB14" s="83">
        <f>'Структура пр 2'!H15</f>
        <v>0</v>
      </c>
      <c r="AC14" s="83">
        <f>'Структура пр 2'!I15</f>
        <v>0</v>
      </c>
      <c r="AD14" s="83">
        <f>'Структура пр 2'!W15</f>
        <v>0</v>
      </c>
      <c r="AE14" s="83">
        <f>'Структура пр 2'!X15</f>
        <v>0</v>
      </c>
      <c r="AF14" s="83">
        <f>'Структура пр 2'!AL15</f>
        <v>0</v>
      </c>
      <c r="AG14" s="83">
        <f>'Структура пр 2'!AM15</f>
        <v>0</v>
      </c>
      <c r="AH14" s="83">
        <f>'Структура пр 2'!BA15</f>
        <v>0</v>
      </c>
      <c r="AI14" s="83">
        <f>'Структура пр 2'!BB15</f>
        <v>0</v>
      </c>
      <c r="AJ14" s="33">
        <f t="shared" si="2"/>
        <v>0</v>
      </c>
      <c r="AK14" s="33">
        <f>'Структура пр 2'!BB15</f>
        <v>0</v>
      </c>
      <c r="AL14" s="83">
        <f>'Структура пр 2'!M15</f>
        <v>0</v>
      </c>
      <c r="AM14" s="83">
        <f>'Структура пр 2'!AB15</f>
        <v>0</v>
      </c>
      <c r="AN14" s="83">
        <f>'Структура пр 2'!AQ15</f>
        <v>0</v>
      </c>
      <c r="AO14" s="83">
        <f>'Структура пр 2'!BF15</f>
        <v>0</v>
      </c>
      <c r="AP14" s="33">
        <f t="shared" si="3"/>
        <v>0</v>
      </c>
      <c r="AQ14" s="44">
        <f t="shared" si="4"/>
        <v>120.78267899999999</v>
      </c>
      <c r="AR14" s="44">
        <f t="shared" si="4"/>
        <v>109.50062699999999</v>
      </c>
      <c r="AS14" s="44">
        <f t="shared" si="4"/>
        <v>132.71072700000002</v>
      </c>
      <c r="AT14" s="44">
        <f t="shared" si="4"/>
        <v>124.82642700000001</v>
      </c>
      <c r="AU14" s="47">
        <f t="shared" si="4"/>
        <v>487.82045999999997</v>
      </c>
      <c r="AV14" s="44">
        <f t="shared" si="5"/>
        <v>0</v>
      </c>
      <c r="AW14" s="44">
        <f t="shared" si="5"/>
        <v>0</v>
      </c>
      <c r="AX14" s="44">
        <f t="shared" si="5"/>
        <v>0</v>
      </c>
      <c r="AY14" s="44">
        <f t="shared" si="5"/>
        <v>0</v>
      </c>
      <c r="AZ14" s="47">
        <f t="shared" si="5"/>
        <v>0</v>
      </c>
      <c r="BA14" s="44">
        <f t="shared" si="6"/>
        <v>120.78267899999999</v>
      </c>
      <c r="BB14" s="44">
        <f t="shared" si="6"/>
        <v>109.50062699999999</v>
      </c>
      <c r="BC14" s="44">
        <f t="shared" si="6"/>
        <v>132.71072700000002</v>
      </c>
      <c r="BD14" s="44">
        <f t="shared" si="6"/>
        <v>124.82642700000001</v>
      </c>
      <c r="BE14" s="47">
        <f t="shared" si="6"/>
        <v>487.82045999999997</v>
      </c>
      <c r="BF14" s="99" t="s">
        <v>58</v>
      </c>
      <c r="BG14" s="101"/>
    </row>
    <row r="15" spans="1:59" ht="108" customHeight="1" thickBot="1">
      <c r="A15" s="99" t="s">
        <v>239</v>
      </c>
      <c r="B15" s="101"/>
      <c r="C15" s="96">
        <f>V15</f>
        <v>3923669</v>
      </c>
      <c r="D15" s="97"/>
      <c r="E15" s="21"/>
      <c r="F15" s="21"/>
      <c r="G15" s="1"/>
      <c r="H15" s="84"/>
      <c r="I15" s="1"/>
      <c r="J15" s="1"/>
      <c r="K15" s="1"/>
      <c r="L15" s="22"/>
      <c r="M15" s="1"/>
      <c r="N15" s="1"/>
      <c r="O15" s="21"/>
      <c r="P15" s="1"/>
      <c r="R15" s="83">
        <f>'Структура пр 2'!B17+'Структура пр 2'!B18+'Структура пр 2'!B19+'Структура пр 2'!B20+'Структура пр 2'!B21</f>
        <v>911838</v>
      </c>
      <c r="S15" s="83">
        <f>'Структура пр 2'!Q17+'Структура пр 2'!Q18+'Структура пр 2'!Q19+'Структура пр 2'!Q20+'Структура пр 2'!Q21</f>
        <v>1047663</v>
      </c>
      <c r="T15" s="83">
        <f>'Структура пр 2'!AF17+'Структура пр 2'!AF18+'Структура пр 2'!AF19+'Структура пр 2'!AF20+'Структура пр 2'!AF21</f>
        <v>836235</v>
      </c>
      <c r="U15" s="83">
        <f>'Структура пр 2'!AU17+'Структура пр 2'!AU18+'Структура пр 2'!AU19+'Структура пр 2'!AU20+'Структура пр 2'!AU21</f>
        <v>1127933</v>
      </c>
      <c r="V15" s="33">
        <f t="shared" si="0"/>
        <v>3923669</v>
      </c>
      <c r="W15" s="83"/>
      <c r="X15" s="83"/>
      <c r="Y15" s="83"/>
      <c r="Z15" s="83"/>
      <c r="AA15" s="33">
        <f t="shared" si="1"/>
        <v>0</v>
      </c>
      <c r="AB15" s="83"/>
      <c r="AC15" s="83"/>
      <c r="AD15" s="83"/>
      <c r="AE15" s="83"/>
      <c r="AF15" s="83"/>
      <c r="AG15" s="83"/>
      <c r="AH15" s="83"/>
      <c r="AI15" s="83"/>
      <c r="AJ15" s="33">
        <f t="shared" si="2"/>
        <v>0</v>
      </c>
      <c r="AK15" s="33">
        <f>'Структура пр 2'!BB16</f>
        <v>0</v>
      </c>
      <c r="AL15" s="83"/>
      <c r="AM15" s="83"/>
      <c r="AN15" s="83"/>
      <c r="AO15" s="83"/>
      <c r="AP15" s="33">
        <f t="shared" si="3"/>
        <v>0</v>
      </c>
      <c r="AQ15" s="81"/>
      <c r="AR15" s="81"/>
      <c r="AS15" s="81"/>
      <c r="AT15" s="81"/>
      <c r="AU15" s="46">
        <f>V15/1000*0.123</f>
        <v>482.611287</v>
      </c>
      <c r="AV15" s="42"/>
      <c r="AW15" s="42"/>
      <c r="AX15" s="42"/>
      <c r="AY15" s="42"/>
      <c r="AZ15" s="46">
        <f>AA15*1.16</f>
        <v>0</v>
      </c>
      <c r="BA15" s="81"/>
      <c r="BB15" s="81"/>
      <c r="BC15" s="81"/>
      <c r="BD15" s="81"/>
      <c r="BE15" s="46">
        <f>AU15+AZ15</f>
        <v>482.611287</v>
      </c>
    </row>
    <row r="19" spans="1:59" ht="17.399999999999999" customHeight="1">
      <c r="A19" s="117" t="s">
        <v>75</v>
      </c>
      <c r="B19" s="92"/>
      <c r="C19" s="92"/>
      <c r="D19" s="92"/>
      <c r="E19" s="92"/>
      <c r="F19" s="92"/>
      <c r="G19" s="92"/>
      <c r="H19" s="92"/>
      <c r="I19" s="92"/>
      <c r="J19" s="92"/>
      <c r="K19" s="92"/>
      <c r="L19" s="92"/>
      <c r="M19" s="92"/>
      <c r="N19" s="92"/>
      <c r="O19" s="92"/>
      <c r="P19" s="92"/>
    </row>
    <row r="20" spans="1:59" ht="15.6" customHeight="1">
      <c r="A20" s="98"/>
      <c r="B20" s="93"/>
      <c r="C20" s="84"/>
      <c r="D20" s="84"/>
      <c r="E20" s="20"/>
      <c r="F20" s="20"/>
      <c r="G20" s="84"/>
      <c r="H20" s="84"/>
      <c r="I20" s="84"/>
      <c r="J20" s="84"/>
      <c r="K20" s="84"/>
      <c r="L20" s="84"/>
      <c r="M20" s="84"/>
      <c r="N20" s="84"/>
      <c r="O20" s="115" t="s">
        <v>76</v>
      </c>
      <c r="P20" s="93"/>
    </row>
    <row r="21" spans="1:59" ht="15.6" customHeight="1">
      <c r="A21" s="111" t="s">
        <v>30</v>
      </c>
      <c r="B21" s="95"/>
      <c r="C21" s="111" t="s">
        <v>77</v>
      </c>
      <c r="D21" s="101"/>
      <c r="E21" s="102" t="s">
        <v>32</v>
      </c>
      <c r="F21" s="102" t="s">
        <v>33</v>
      </c>
      <c r="G21" s="102" t="s">
        <v>34</v>
      </c>
      <c r="H21" s="102" t="s">
        <v>35</v>
      </c>
      <c r="I21" s="95"/>
      <c r="J21" s="102" t="s">
        <v>36</v>
      </c>
      <c r="K21" s="103"/>
      <c r="L21" s="103"/>
      <c r="M21" s="103"/>
      <c r="N21" s="101"/>
      <c r="O21" s="102" t="s">
        <v>37</v>
      </c>
      <c r="P21" s="102" t="s">
        <v>7</v>
      </c>
      <c r="R21" s="104" t="s">
        <v>78</v>
      </c>
      <c r="S21" s="94"/>
      <c r="T21" s="94"/>
      <c r="U21" s="94"/>
      <c r="V21" s="94"/>
      <c r="W21" s="94"/>
      <c r="X21" s="94"/>
      <c r="Y21" s="94"/>
      <c r="Z21" s="94"/>
      <c r="AA21" s="94"/>
      <c r="AB21" s="94"/>
      <c r="AC21" s="94"/>
      <c r="AD21" s="94"/>
      <c r="AE21" s="94"/>
      <c r="AF21" s="94"/>
      <c r="AG21" s="94"/>
      <c r="AH21" s="94"/>
      <c r="AI21" s="94"/>
      <c r="AJ21" s="94"/>
      <c r="AK21" s="94"/>
      <c r="AL21" s="94"/>
      <c r="AM21" s="94"/>
      <c r="AN21" s="94"/>
      <c r="AO21" s="94"/>
      <c r="AP21" s="91"/>
      <c r="AQ21" s="116" t="s">
        <v>100</v>
      </c>
      <c r="AR21" s="94"/>
      <c r="AS21" s="94"/>
      <c r="AT21" s="94"/>
      <c r="AU21" s="94"/>
      <c r="AV21" s="94"/>
      <c r="AW21" s="94"/>
      <c r="AX21" s="94"/>
      <c r="AY21" s="94"/>
      <c r="AZ21" s="94"/>
      <c r="BA21" s="94"/>
      <c r="BB21" s="94"/>
      <c r="BC21" s="94"/>
      <c r="BD21" s="94"/>
      <c r="BE21" s="91"/>
    </row>
    <row r="22" spans="1:59">
      <c r="A22" s="107"/>
      <c r="B22" s="108"/>
      <c r="C22" s="99" t="s">
        <v>80</v>
      </c>
      <c r="D22" s="99" t="s">
        <v>39</v>
      </c>
      <c r="E22" s="106"/>
      <c r="F22" s="106"/>
      <c r="G22" s="106"/>
      <c r="H22" s="107"/>
      <c r="I22" s="108"/>
      <c r="J22" s="99" t="s">
        <v>41</v>
      </c>
      <c r="K22" s="99" t="s">
        <v>81</v>
      </c>
      <c r="L22" s="113" t="s">
        <v>42</v>
      </c>
      <c r="M22" s="99" t="s">
        <v>82</v>
      </c>
      <c r="N22" s="114" t="s">
        <v>83</v>
      </c>
      <c r="O22" s="106"/>
      <c r="P22" s="106"/>
      <c r="R22" s="104" t="s">
        <v>84</v>
      </c>
      <c r="S22" s="94"/>
      <c r="T22" s="94"/>
      <c r="U22" s="94"/>
      <c r="V22" s="91"/>
      <c r="W22" s="104" t="s">
        <v>85</v>
      </c>
      <c r="X22" s="94"/>
      <c r="Y22" s="94"/>
      <c r="Z22" s="94"/>
      <c r="AA22" s="91"/>
      <c r="AB22" s="104" t="s">
        <v>86</v>
      </c>
      <c r="AC22" s="94"/>
      <c r="AD22" s="94"/>
      <c r="AE22" s="94"/>
      <c r="AF22" s="94"/>
      <c r="AG22" s="94"/>
      <c r="AH22" s="94"/>
      <c r="AI22" s="94"/>
      <c r="AJ22" s="94"/>
      <c r="AK22" s="91"/>
      <c r="AL22" s="104" t="s">
        <v>87</v>
      </c>
      <c r="AM22" s="94"/>
      <c r="AN22" s="94"/>
      <c r="AO22" s="94"/>
      <c r="AP22" s="91"/>
      <c r="AQ22" s="118" t="s">
        <v>88</v>
      </c>
      <c r="AR22" s="94"/>
      <c r="AS22" s="94"/>
      <c r="AT22" s="94"/>
      <c r="AU22" s="91"/>
      <c r="AV22" s="118" t="s">
        <v>89</v>
      </c>
      <c r="AW22" s="94"/>
      <c r="AX22" s="94"/>
      <c r="AY22" s="94"/>
      <c r="AZ22" s="91"/>
      <c r="BA22" s="118" t="s">
        <v>90</v>
      </c>
      <c r="BB22" s="94"/>
      <c r="BC22" s="94"/>
      <c r="BD22" s="94"/>
      <c r="BE22" s="91"/>
    </row>
    <row r="23" spans="1:59">
      <c r="A23" s="107"/>
      <c r="B23" s="108"/>
      <c r="C23" s="100"/>
      <c r="D23" s="100"/>
      <c r="E23" s="100"/>
      <c r="F23" s="100"/>
      <c r="G23" s="100"/>
      <c r="H23" s="109"/>
      <c r="I23" s="110"/>
      <c r="J23" s="100"/>
      <c r="K23" s="100"/>
      <c r="L23" s="100"/>
      <c r="M23" s="100"/>
      <c r="N23" s="100"/>
      <c r="O23" s="100"/>
      <c r="P23" s="106"/>
      <c r="R23" s="83"/>
      <c r="S23" s="83"/>
      <c r="T23" s="83"/>
      <c r="U23" s="83"/>
      <c r="V23" s="83"/>
      <c r="W23" s="83"/>
      <c r="X23" s="83"/>
      <c r="Y23" s="83"/>
      <c r="Z23" s="83"/>
      <c r="AA23" s="83"/>
      <c r="AB23" s="83" t="s">
        <v>91</v>
      </c>
      <c r="AC23" s="83" t="s">
        <v>92</v>
      </c>
      <c r="AD23" s="83" t="s">
        <v>91</v>
      </c>
      <c r="AE23" s="83" t="s">
        <v>92</v>
      </c>
      <c r="AF23" s="83" t="s">
        <v>91</v>
      </c>
      <c r="AG23" s="83" t="s">
        <v>92</v>
      </c>
      <c r="AH23" s="83" t="s">
        <v>91</v>
      </c>
      <c r="AI23" s="83" t="s">
        <v>92</v>
      </c>
      <c r="AJ23" s="83" t="s">
        <v>91</v>
      </c>
      <c r="AK23" s="83" t="s">
        <v>92</v>
      </c>
      <c r="AL23" s="83"/>
      <c r="AM23" s="83"/>
      <c r="AN23" s="83"/>
      <c r="AO23" s="83"/>
      <c r="AP23" s="83"/>
      <c r="AQ23" s="42"/>
      <c r="AR23" s="42"/>
      <c r="AS23" s="42"/>
      <c r="AT23" s="42"/>
      <c r="AU23" s="42"/>
      <c r="AV23" s="42"/>
      <c r="AW23" s="42"/>
      <c r="AX23" s="42"/>
      <c r="AY23" s="42"/>
      <c r="AZ23" s="42"/>
      <c r="BA23" s="42"/>
      <c r="BB23" s="42"/>
      <c r="BC23" s="42"/>
      <c r="BD23" s="42"/>
      <c r="BE23" s="42"/>
    </row>
    <row r="24" spans="1:59" ht="21" customHeight="1">
      <c r="A24" s="109"/>
      <c r="B24" s="110"/>
      <c r="C24" s="1"/>
      <c r="D24" s="1"/>
      <c r="E24" s="21" t="s">
        <v>47</v>
      </c>
      <c r="F24" s="21" t="s">
        <v>93</v>
      </c>
      <c r="G24" s="1" t="s">
        <v>49</v>
      </c>
      <c r="H24" s="99" t="s">
        <v>49</v>
      </c>
      <c r="I24" s="101"/>
      <c r="J24" s="99" t="s">
        <v>49</v>
      </c>
      <c r="K24" s="103"/>
      <c r="L24" s="103"/>
      <c r="M24" s="103"/>
      <c r="N24" s="101"/>
      <c r="O24" s="21" t="s">
        <v>50</v>
      </c>
      <c r="P24" s="100"/>
      <c r="R24" s="82">
        <v>1</v>
      </c>
      <c r="S24" s="82">
        <v>2</v>
      </c>
      <c r="T24" s="82">
        <v>3</v>
      </c>
      <c r="U24" s="82">
        <v>4</v>
      </c>
      <c r="V24" s="32" t="s">
        <v>94</v>
      </c>
      <c r="W24" s="82">
        <v>1</v>
      </c>
      <c r="X24" s="82">
        <v>2</v>
      </c>
      <c r="Y24" s="82">
        <v>3</v>
      </c>
      <c r="Z24" s="82">
        <v>4</v>
      </c>
      <c r="AA24" s="32" t="s">
        <v>94</v>
      </c>
      <c r="AB24" s="105">
        <v>1</v>
      </c>
      <c r="AC24" s="91"/>
      <c r="AD24" s="105">
        <v>2</v>
      </c>
      <c r="AE24" s="91"/>
      <c r="AF24" s="105">
        <v>3</v>
      </c>
      <c r="AG24" s="91"/>
      <c r="AH24" s="105">
        <v>4</v>
      </c>
      <c r="AI24" s="91"/>
      <c r="AJ24" s="112" t="s">
        <v>94</v>
      </c>
      <c r="AK24" s="91"/>
      <c r="AL24" s="82">
        <v>1</v>
      </c>
      <c r="AM24" s="82">
        <v>2</v>
      </c>
      <c r="AN24" s="82">
        <v>3</v>
      </c>
      <c r="AO24" s="82">
        <v>4</v>
      </c>
      <c r="AP24" s="32" t="s">
        <v>94</v>
      </c>
      <c r="AQ24" s="43">
        <v>1</v>
      </c>
      <c r="AR24" s="43">
        <v>2</v>
      </c>
      <c r="AS24" s="43">
        <v>3</v>
      </c>
      <c r="AT24" s="43">
        <v>4</v>
      </c>
      <c r="AU24" s="45" t="s">
        <v>94</v>
      </c>
      <c r="AV24" s="43">
        <v>1</v>
      </c>
      <c r="AW24" s="43">
        <v>2</v>
      </c>
      <c r="AX24" s="43">
        <v>3</v>
      </c>
      <c r="AY24" s="43">
        <v>4</v>
      </c>
      <c r="AZ24" s="45" t="s">
        <v>94</v>
      </c>
      <c r="BA24" s="43">
        <v>1</v>
      </c>
      <c r="BB24" s="43">
        <v>2</v>
      </c>
      <c r="BC24" s="43">
        <v>3</v>
      </c>
      <c r="BD24" s="43">
        <v>4</v>
      </c>
      <c r="BE24" s="45" t="s">
        <v>94</v>
      </c>
    </row>
    <row r="25" spans="1:59" ht="70.2" customHeight="1">
      <c r="A25" s="99" t="s">
        <v>51</v>
      </c>
      <c r="B25" s="101"/>
      <c r="C25" s="1">
        <f>V25</f>
        <v>4950000</v>
      </c>
      <c r="D25" s="1">
        <f>'Узел учета '!D5</f>
        <v>1825000</v>
      </c>
      <c r="E25" s="21"/>
      <c r="F25" s="21"/>
      <c r="G25" s="1"/>
      <c r="H25" s="84"/>
      <c r="I25" s="1"/>
      <c r="J25" s="1"/>
      <c r="K25" s="1"/>
      <c r="L25" s="22"/>
      <c r="M25" s="1"/>
      <c r="N25" s="1"/>
      <c r="O25" s="21"/>
      <c r="P25" s="1"/>
      <c r="R25" s="83">
        <f>'Структура пр 2'!B30</f>
        <v>1200000</v>
      </c>
      <c r="S25" s="83">
        <f>'Структура пр 2'!Q30</f>
        <v>1200000</v>
      </c>
      <c r="T25" s="83">
        <f>'Структура пр 2'!AF30</f>
        <v>1200000</v>
      </c>
      <c r="U25" s="83">
        <f>'Структура пр 2'!AU30</f>
        <v>1350000</v>
      </c>
      <c r="V25" s="33">
        <f t="shared" ref="V25:V33" si="8">U25+T25+S25+R25</f>
        <v>4950000</v>
      </c>
      <c r="W25" s="83">
        <f>'Структура пр 2'!E30</f>
        <v>0</v>
      </c>
      <c r="X25" s="83">
        <f>'Структура пр 2'!T30</f>
        <v>0</v>
      </c>
      <c r="Y25" s="83">
        <f>'Структура пр 2'!AI30</f>
        <v>0</v>
      </c>
      <c r="Z25" s="83">
        <f>'Структура пр 2'!AX30</f>
        <v>0</v>
      </c>
      <c r="AA25" s="33">
        <f t="shared" ref="AA25:AA33" si="9">Z25+Y25+X25+W25</f>
        <v>0</v>
      </c>
      <c r="AB25" s="83">
        <f>'Структура пр 2'!H30</f>
        <v>0</v>
      </c>
      <c r="AC25" s="83">
        <f>'Структура пр 2'!I30</f>
        <v>0</v>
      </c>
      <c r="AD25" s="83">
        <f>'Структура пр 2'!W30</f>
        <v>0</v>
      </c>
      <c r="AE25" s="83">
        <f>'Структура пр 2'!X30</f>
        <v>0</v>
      </c>
      <c r="AF25" s="83">
        <f>'Структура пр 2'!AL30</f>
        <v>0</v>
      </c>
      <c r="AG25" s="83">
        <f>'Структура пр 2'!AM30</f>
        <v>0</v>
      </c>
      <c r="AH25" s="83">
        <f>'Структура пр 2'!BA30</f>
        <v>0</v>
      </c>
      <c r="AI25" s="83">
        <f>'Структура пр 2'!BB30</f>
        <v>0</v>
      </c>
      <c r="AJ25" s="33">
        <f t="shared" ref="AJ25:AJ33" si="10">AH25+AF25+AD25+AB25</f>
        <v>0</v>
      </c>
      <c r="AK25" s="33">
        <f>'Структура пр 2'!BB32</f>
        <v>0</v>
      </c>
      <c r="AL25" s="83">
        <f>'Структура пр 2'!M30</f>
        <v>0</v>
      </c>
      <c r="AM25" s="83">
        <f>'Структура пр 2'!AB30</f>
        <v>0</v>
      </c>
      <c r="AN25" s="83">
        <f>'Структура пр 2'!AQ30</f>
        <v>0</v>
      </c>
      <c r="AO25" s="83">
        <f>'Структура пр 2'!BF30</f>
        <v>0</v>
      </c>
      <c r="AP25" s="33">
        <f t="shared" ref="AP25:AP33" si="11">AO25+AN25+AM25+AL25</f>
        <v>0</v>
      </c>
      <c r="AQ25" s="81">
        <f t="shared" ref="AQ25:AU32" si="12">R25/1000*0.123</f>
        <v>147.6</v>
      </c>
      <c r="AR25" s="81">
        <f t="shared" si="12"/>
        <v>147.6</v>
      </c>
      <c r="AS25" s="81">
        <f t="shared" si="12"/>
        <v>147.6</v>
      </c>
      <c r="AT25" s="81">
        <f t="shared" si="12"/>
        <v>166.05</v>
      </c>
      <c r="AU25" s="46">
        <f t="shared" si="12"/>
        <v>608.85</v>
      </c>
      <c r="AV25" s="81">
        <f t="shared" ref="AV25:AZ32" si="13">W25*1.16</f>
        <v>0</v>
      </c>
      <c r="AW25" s="81">
        <f t="shared" si="13"/>
        <v>0</v>
      </c>
      <c r="AX25" s="81">
        <f t="shared" si="13"/>
        <v>0</v>
      </c>
      <c r="AY25" s="81">
        <f t="shared" si="13"/>
        <v>0</v>
      </c>
      <c r="AZ25" s="46">
        <f t="shared" si="13"/>
        <v>0</v>
      </c>
      <c r="BA25" s="81">
        <f t="shared" ref="BA25:BE32" si="14">AQ25+AV25</f>
        <v>147.6</v>
      </c>
      <c r="BB25" s="81">
        <f t="shared" si="14"/>
        <v>147.6</v>
      </c>
      <c r="BC25" s="81">
        <f t="shared" si="14"/>
        <v>147.6</v>
      </c>
      <c r="BD25" s="81">
        <f t="shared" si="14"/>
        <v>166.05</v>
      </c>
      <c r="BE25" s="46">
        <f t="shared" si="14"/>
        <v>608.85</v>
      </c>
      <c r="BF25" s="99" t="s">
        <v>51</v>
      </c>
      <c r="BG25" s="101"/>
    </row>
    <row r="26" spans="1:59" ht="48" customHeight="1">
      <c r="A26" s="99" t="s">
        <v>95</v>
      </c>
      <c r="B26" s="101"/>
      <c r="C26" s="99"/>
      <c r="D26" s="101"/>
      <c r="E26" s="21"/>
      <c r="F26" s="21"/>
      <c r="G26" s="1"/>
      <c r="H26" s="84"/>
      <c r="I26" s="1"/>
      <c r="J26" s="1"/>
      <c r="K26" s="1"/>
      <c r="L26" s="22"/>
      <c r="M26" s="1"/>
      <c r="N26" s="1"/>
      <c r="O26" s="21"/>
      <c r="P26" s="1"/>
      <c r="R26" s="83">
        <f>'Структура пр 2'!B31</f>
        <v>0</v>
      </c>
      <c r="S26" s="83">
        <f>'Структура пр 2'!Q31</f>
        <v>0</v>
      </c>
      <c r="T26" s="83">
        <f>'Структура пр 2'!AF31</f>
        <v>0</v>
      </c>
      <c r="U26" s="83">
        <f>'Структура пр 2'!AU31</f>
        <v>0</v>
      </c>
      <c r="V26" s="33">
        <f t="shared" si="8"/>
        <v>0</v>
      </c>
      <c r="W26" s="83">
        <f>'Структура пр 2'!E31</f>
        <v>0</v>
      </c>
      <c r="X26" s="83">
        <f>'Структура пр 2'!T31</f>
        <v>0</v>
      </c>
      <c r="Y26" s="83">
        <f>'Структура пр 2'!AI31</f>
        <v>0</v>
      </c>
      <c r="Z26" s="83">
        <f>'Структура пр 2'!AX31</f>
        <v>0</v>
      </c>
      <c r="AA26" s="33">
        <f t="shared" si="9"/>
        <v>0</v>
      </c>
      <c r="AB26" s="83">
        <f>'Структура пр 2'!H31</f>
        <v>0</v>
      </c>
      <c r="AC26" s="83">
        <f>'Структура пр 2'!I31</f>
        <v>0</v>
      </c>
      <c r="AD26" s="83">
        <f>'Структура пр 2'!W31</f>
        <v>0</v>
      </c>
      <c r="AE26" s="83">
        <f>'Структура пр 2'!X31</f>
        <v>0</v>
      </c>
      <c r="AF26" s="83">
        <f>'Структура пр 2'!AL31</f>
        <v>0</v>
      </c>
      <c r="AG26" s="83">
        <f>'Структура пр 2'!AM31</f>
        <v>0</v>
      </c>
      <c r="AH26" s="83">
        <f>'Структура пр 2'!BA31</f>
        <v>0</v>
      </c>
      <c r="AI26" s="83">
        <f>'Структура пр 2'!BB31</f>
        <v>0</v>
      </c>
      <c r="AJ26" s="33">
        <f t="shared" si="10"/>
        <v>0</v>
      </c>
      <c r="AK26" s="33">
        <f>'Структура пр 2'!BB33</f>
        <v>0</v>
      </c>
      <c r="AL26" s="83">
        <f>'Структура пр 2'!M31</f>
        <v>0</v>
      </c>
      <c r="AM26" s="83">
        <f>'Структура пр 2'!AB31</f>
        <v>0</v>
      </c>
      <c r="AN26" s="83">
        <f>'Структура пр 2'!AQ31</f>
        <v>0</v>
      </c>
      <c r="AO26" s="83">
        <f>'Структура пр 2'!BF31</f>
        <v>0</v>
      </c>
      <c r="AP26" s="33">
        <f t="shared" si="11"/>
        <v>0</v>
      </c>
      <c r="AQ26" s="81">
        <f t="shared" si="12"/>
        <v>0</v>
      </c>
      <c r="AR26" s="81">
        <f t="shared" si="12"/>
        <v>0</v>
      </c>
      <c r="AS26" s="81">
        <f t="shared" si="12"/>
        <v>0</v>
      </c>
      <c r="AT26" s="81">
        <f t="shared" si="12"/>
        <v>0</v>
      </c>
      <c r="AU26" s="46">
        <f t="shared" si="12"/>
        <v>0</v>
      </c>
      <c r="AV26" s="81">
        <f t="shared" si="13"/>
        <v>0</v>
      </c>
      <c r="AW26" s="81">
        <f t="shared" si="13"/>
        <v>0</v>
      </c>
      <c r="AX26" s="81">
        <f t="shared" si="13"/>
        <v>0</v>
      </c>
      <c r="AY26" s="81">
        <f t="shared" si="13"/>
        <v>0</v>
      </c>
      <c r="AZ26" s="46">
        <f t="shared" si="13"/>
        <v>0</v>
      </c>
      <c r="BA26" s="81">
        <f t="shared" si="14"/>
        <v>0</v>
      </c>
      <c r="BB26" s="81">
        <f t="shared" si="14"/>
        <v>0</v>
      </c>
      <c r="BC26" s="81">
        <f t="shared" si="14"/>
        <v>0</v>
      </c>
      <c r="BD26" s="81">
        <f t="shared" si="14"/>
        <v>0</v>
      </c>
      <c r="BE26" s="46">
        <f t="shared" si="14"/>
        <v>0</v>
      </c>
      <c r="BF26" s="99" t="s">
        <v>95</v>
      </c>
      <c r="BG26" s="101"/>
    </row>
    <row r="27" spans="1:59" ht="55.95" customHeight="1">
      <c r="A27" s="99" t="s">
        <v>53</v>
      </c>
      <c r="B27" s="101"/>
      <c r="C27" s="99">
        <f t="shared" ref="C27:C32" si="15">V27</f>
        <v>5273058</v>
      </c>
      <c r="D27" s="101"/>
      <c r="E27" s="21"/>
      <c r="F27" s="21">
        <f>AA27</f>
        <v>31.512900000000002</v>
      </c>
      <c r="G27" s="1"/>
      <c r="H27" s="84"/>
      <c r="I27" s="1"/>
      <c r="J27" s="1"/>
      <c r="K27" s="1"/>
      <c r="L27" s="22"/>
      <c r="M27" s="1"/>
      <c r="N27" s="1"/>
      <c r="O27" s="21"/>
      <c r="P27" s="1"/>
      <c r="R27" s="83">
        <f>'Структура пр 2'!B32</f>
        <v>973143</v>
      </c>
      <c r="S27" s="83">
        <f>'Структура пр 2'!Q32</f>
        <v>1322714</v>
      </c>
      <c r="T27" s="83">
        <f>'Структура пр 2'!AF32</f>
        <v>1488930</v>
      </c>
      <c r="U27" s="83">
        <f>'Структура пр 2'!AU32</f>
        <v>1488271</v>
      </c>
      <c r="V27" s="33">
        <f t="shared" si="8"/>
        <v>5273058</v>
      </c>
      <c r="W27" s="83">
        <f>'Структура пр 2'!E32</f>
        <v>14.081899999999999</v>
      </c>
      <c r="X27" s="83">
        <f>'Структура пр 2'!T32</f>
        <v>3.3820000000000001</v>
      </c>
      <c r="Y27" s="83">
        <f>'Структура пр 2'!AI32</f>
        <v>2.8620000000000001</v>
      </c>
      <c r="Z27" s="83">
        <f>'Структура пр 2'!AX32</f>
        <v>11.186999999999999</v>
      </c>
      <c r="AA27" s="33">
        <f t="shared" si="9"/>
        <v>31.512900000000002</v>
      </c>
      <c r="AB27" s="83">
        <f>'Структура пр 2'!H32</f>
        <v>0</v>
      </c>
      <c r="AC27" s="83">
        <f>'Структура пр 2'!I32</f>
        <v>0</v>
      </c>
      <c r="AD27" s="83">
        <f>'Структура пр 2'!W32</f>
        <v>0</v>
      </c>
      <c r="AE27" s="83">
        <f>'Структура пр 2'!X32</f>
        <v>0</v>
      </c>
      <c r="AF27" s="83">
        <f>'Структура пр 2'!AL32</f>
        <v>0</v>
      </c>
      <c r="AG27" s="83">
        <f>'Структура пр 2'!AM32</f>
        <v>0</v>
      </c>
      <c r="AH27" s="83">
        <f>'Структура пр 2'!BA32</f>
        <v>0</v>
      </c>
      <c r="AI27" s="83">
        <f>'Структура пр 2'!BB32</f>
        <v>0</v>
      </c>
      <c r="AJ27" s="33">
        <f t="shared" si="10"/>
        <v>0</v>
      </c>
      <c r="AK27" s="33">
        <f>'Структура пр 2'!BB34</f>
        <v>0</v>
      </c>
      <c r="AL27" s="83">
        <f>'Структура пр 2'!M32</f>
        <v>2400</v>
      </c>
      <c r="AM27" s="83">
        <f>'Структура пр 2'!AB32</f>
        <v>2585</v>
      </c>
      <c r="AN27" s="83">
        <f>'Структура пр 2'!AQ32</f>
        <v>2504</v>
      </c>
      <c r="AO27" s="83">
        <f>'Структура пр 2'!BF32</f>
        <v>2150</v>
      </c>
      <c r="AP27" s="33">
        <f t="shared" si="11"/>
        <v>9639</v>
      </c>
      <c r="AQ27" s="44">
        <f t="shared" si="12"/>
        <v>119.696589</v>
      </c>
      <c r="AR27" s="44">
        <f t="shared" si="12"/>
        <v>162.69382199999998</v>
      </c>
      <c r="AS27" s="44">
        <f t="shared" si="12"/>
        <v>183.13839000000002</v>
      </c>
      <c r="AT27" s="44">
        <f t="shared" si="12"/>
        <v>183.057333</v>
      </c>
      <c r="AU27" s="47">
        <f t="shared" si="12"/>
        <v>648.58613400000002</v>
      </c>
      <c r="AV27" s="44">
        <f t="shared" si="13"/>
        <v>16.335003999999998</v>
      </c>
      <c r="AW27" s="44">
        <f t="shared" si="13"/>
        <v>3.9231199999999999</v>
      </c>
      <c r="AX27" s="44">
        <f t="shared" si="13"/>
        <v>3.3199199999999998</v>
      </c>
      <c r="AY27" s="44">
        <f t="shared" si="13"/>
        <v>12.976919999999998</v>
      </c>
      <c r="AZ27" s="47">
        <f t="shared" si="13"/>
        <v>36.554963999999998</v>
      </c>
      <c r="BA27" s="44">
        <f t="shared" si="14"/>
        <v>136.03159299999999</v>
      </c>
      <c r="BB27" s="44">
        <f t="shared" si="14"/>
        <v>166.61694199999999</v>
      </c>
      <c r="BC27" s="44">
        <f t="shared" si="14"/>
        <v>186.45831000000001</v>
      </c>
      <c r="BD27" s="44">
        <f t="shared" si="14"/>
        <v>196.03425300000001</v>
      </c>
      <c r="BE27" s="47">
        <f t="shared" si="14"/>
        <v>685.14109800000006</v>
      </c>
      <c r="BF27" s="99" t="s">
        <v>53</v>
      </c>
      <c r="BG27" s="101"/>
    </row>
    <row r="28" spans="1:59" ht="52.95" customHeight="1">
      <c r="A28" s="99" t="s">
        <v>96</v>
      </c>
      <c r="B28" s="101"/>
      <c r="C28" s="99">
        <f t="shared" si="15"/>
        <v>4143434</v>
      </c>
      <c r="D28" s="101"/>
      <c r="E28" s="21"/>
      <c r="F28" s="21"/>
      <c r="G28" s="1"/>
      <c r="H28" s="84"/>
      <c r="I28" s="1"/>
      <c r="J28" s="1"/>
      <c r="K28" s="1"/>
      <c r="L28" s="22"/>
      <c r="M28" s="1"/>
      <c r="N28" s="1"/>
      <c r="O28" s="21"/>
      <c r="P28" s="1"/>
      <c r="R28" s="83">
        <f>'Структура пр 2'!B33</f>
        <v>764671</v>
      </c>
      <c r="S28" s="83">
        <f>'Структура пр 2'!Q33</f>
        <v>1039355</v>
      </c>
      <c r="T28" s="83">
        <f>'Структура пр 2'!AF33</f>
        <v>1169963</v>
      </c>
      <c r="U28" s="83">
        <f>'Структура пр 2'!AU33</f>
        <v>1169445</v>
      </c>
      <c r="V28" s="33">
        <f t="shared" si="8"/>
        <v>4143434</v>
      </c>
      <c r="W28" s="83">
        <f>'Структура пр 2'!E33</f>
        <v>0</v>
      </c>
      <c r="X28" s="83">
        <f>'Структура пр 2'!T33</f>
        <v>0</v>
      </c>
      <c r="Y28" s="83">
        <f>'Структура пр 2'!AI33</f>
        <v>0</v>
      </c>
      <c r="Z28" s="83">
        <f>'Структура пр 2'!AX33</f>
        <v>0</v>
      </c>
      <c r="AA28" s="33">
        <f t="shared" si="9"/>
        <v>0</v>
      </c>
      <c r="AB28" s="83">
        <f>'Структура пр 2'!H33</f>
        <v>0</v>
      </c>
      <c r="AC28" s="83">
        <f>'Структура пр 2'!I33</f>
        <v>0</v>
      </c>
      <c r="AD28" s="83">
        <f>'Структура пр 2'!W33</f>
        <v>0</v>
      </c>
      <c r="AE28" s="83">
        <f>'Структура пр 2'!X33</f>
        <v>0</v>
      </c>
      <c r="AF28" s="83">
        <f>'Структура пр 2'!AL33</f>
        <v>0</v>
      </c>
      <c r="AG28" s="83">
        <f>'Структура пр 2'!AM33</f>
        <v>0</v>
      </c>
      <c r="AH28" s="83">
        <f>'Структура пр 2'!BA33</f>
        <v>0</v>
      </c>
      <c r="AI28" s="83">
        <f>'Структура пр 2'!BB33</f>
        <v>0</v>
      </c>
      <c r="AJ28" s="33">
        <f t="shared" si="10"/>
        <v>0</v>
      </c>
      <c r="AK28" s="33">
        <f>'Структура пр 2'!BB35</f>
        <v>0</v>
      </c>
      <c r="AL28" s="83">
        <f>'Структура пр 2'!M33</f>
        <v>0</v>
      </c>
      <c r="AM28" s="83">
        <f>'Структура пр 2'!AB33</f>
        <v>0</v>
      </c>
      <c r="AN28" s="83">
        <f>'Структура пр 2'!AQ33</f>
        <v>0</v>
      </c>
      <c r="AO28" s="83">
        <f>'Структура пр 2'!BF33</f>
        <v>0</v>
      </c>
      <c r="AP28" s="33">
        <f t="shared" si="11"/>
        <v>0</v>
      </c>
      <c r="AQ28" s="44">
        <f t="shared" si="12"/>
        <v>94.054533000000006</v>
      </c>
      <c r="AR28" s="44">
        <f t="shared" si="12"/>
        <v>127.840665</v>
      </c>
      <c r="AS28" s="44">
        <f t="shared" si="12"/>
        <v>143.905449</v>
      </c>
      <c r="AT28" s="44">
        <f t="shared" si="12"/>
        <v>143.841735</v>
      </c>
      <c r="AU28" s="47">
        <f t="shared" si="12"/>
        <v>509.642382</v>
      </c>
      <c r="AV28" s="44">
        <f t="shared" si="13"/>
        <v>0</v>
      </c>
      <c r="AW28" s="44">
        <f t="shared" si="13"/>
        <v>0</v>
      </c>
      <c r="AX28" s="44">
        <f t="shared" si="13"/>
        <v>0</v>
      </c>
      <c r="AY28" s="44">
        <f t="shared" si="13"/>
        <v>0</v>
      </c>
      <c r="AZ28" s="47">
        <f t="shared" si="13"/>
        <v>0</v>
      </c>
      <c r="BA28" s="44">
        <f t="shared" si="14"/>
        <v>94.054533000000006</v>
      </c>
      <c r="BB28" s="44">
        <f t="shared" si="14"/>
        <v>127.840665</v>
      </c>
      <c r="BC28" s="44">
        <f t="shared" si="14"/>
        <v>143.905449</v>
      </c>
      <c r="BD28" s="44">
        <f t="shared" si="14"/>
        <v>143.841735</v>
      </c>
      <c r="BE28" s="47">
        <f t="shared" si="14"/>
        <v>509.642382</v>
      </c>
      <c r="BF28" s="99" t="s">
        <v>96</v>
      </c>
      <c r="BG28" s="101"/>
    </row>
    <row r="29" spans="1:59" ht="46.2" customHeight="1">
      <c r="A29" s="99" t="s">
        <v>97</v>
      </c>
      <c r="B29" s="101"/>
      <c r="C29" s="99">
        <f t="shared" si="15"/>
        <v>105461</v>
      </c>
      <c r="D29" s="101"/>
      <c r="E29" s="21"/>
      <c r="F29" s="21">
        <f>AA29</f>
        <v>5.1840000000000002</v>
      </c>
      <c r="G29" s="1"/>
      <c r="H29" s="84"/>
      <c r="I29" s="1"/>
      <c r="J29" s="1"/>
      <c r="K29" s="1"/>
      <c r="L29" s="22"/>
      <c r="M29" s="1"/>
      <c r="N29" s="1"/>
      <c r="O29" s="21"/>
      <c r="P29" s="1"/>
      <c r="R29" s="83">
        <f>'Структура пр 2'!B34</f>
        <v>19463</v>
      </c>
      <c r="S29" s="83">
        <f>'Структура пр 2'!Q34</f>
        <v>26454</v>
      </c>
      <c r="T29" s="83">
        <f>'Структура пр 2'!AF34</f>
        <v>29779</v>
      </c>
      <c r="U29" s="83">
        <f>'Структура пр 2'!AU34</f>
        <v>29765</v>
      </c>
      <c r="V29" s="33">
        <f t="shared" si="8"/>
        <v>105461</v>
      </c>
      <c r="W29" s="83">
        <f>'Структура пр 2'!E34</f>
        <v>1.296</v>
      </c>
      <c r="X29" s="83">
        <f>'Структура пр 2'!T34</f>
        <v>1.296</v>
      </c>
      <c r="Y29" s="83">
        <f>'Структура пр 2'!AI34</f>
        <v>1.296</v>
      </c>
      <c r="Z29" s="83">
        <f>'Структура пр 2'!AX34</f>
        <v>1.296</v>
      </c>
      <c r="AA29" s="33">
        <f t="shared" si="9"/>
        <v>5.1840000000000002</v>
      </c>
      <c r="AB29" s="83">
        <f>'Структура пр 2'!H34</f>
        <v>0</v>
      </c>
      <c r="AC29" s="83">
        <f>'Структура пр 2'!I34</f>
        <v>0</v>
      </c>
      <c r="AD29" s="83">
        <f>'Структура пр 2'!W34</f>
        <v>0</v>
      </c>
      <c r="AE29" s="83">
        <f>'Структура пр 2'!X34</f>
        <v>0</v>
      </c>
      <c r="AF29" s="83">
        <f>'Структура пр 2'!AL34</f>
        <v>0</v>
      </c>
      <c r="AG29" s="83">
        <f>'Структура пр 2'!AM34</f>
        <v>0</v>
      </c>
      <c r="AH29" s="83">
        <f>'Структура пр 2'!BA34</f>
        <v>0</v>
      </c>
      <c r="AI29" s="83">
        <f>'Структура пр 2'!BB34</f>
        <v>0</v>
      </c>
      <c r="AJ29" s="33">
        <f t="shared" si="10"/>
        <v>0</v>
      </c>
      <c r="AK29" s="33">
        <f>'Структура пр 2'!BB36</f>
        <v>0</v>
      </c>
      <c r="AL29" s="83">
        <f>'Структура пр 2'!M34</f>
        <v>2400</v>
      </c>
      <c r="AM29" s="83">
        <f>'Структура пр 2'!AB34</f>
        <v>2585</v>
      </c>
      <c r="AN29" s="83">
        <f>'Структура пр 2'!AQ34</f>
        <v>2504</v>
      </c>
      <c r="AO29" s="83">
        <f>'Структура пр 2'!BF34</f>
        <v>2150</v>
      </c>
      <c r="AP29" s="33">
        <f t="shared" si="11"/>
        <v>9639</v>
      </c>
      <c r="AQ29" s="44">
        <f t="shared" si="12"/>
        <v>2.3939490000000001</v>
      </c>
      <c r="AR29" s="44">
        <f t="shared" si="12"/>
        <v>3.2538420000000001</v>
      </c>
      <c r="AS29" s="44">
        <f t="shared" si="12"/>
        <v>3.662817</v>
      </c>
      <c r="AT29" s="44">
        <f t="shared" si="12"/>
        <v>3.661095</v>
      </c>
      <c r="AU29" s="47">
        <f t="shared" si="12"/>
        <v>12.971703</v>
      </c>
      <c r="AV29" s="44">
        <f t="shared" si="13"/>
        <v>1.50336</v>
      </c>
      <c r="AW29" s="44">
        <f t="shared" si="13"/>
        <v>1.50336</v>
      </c>
      <c r="AX29" s="44">
        <f t="shared" si="13"/>
        <v>1.50336</v>
      </c>
      <c r="AY29" s="44">
        <f t="shared" si="13"/>
        <v>1.50336</v>
      </c>
      <c r="AZ29" s="47">
        <f t="shared" si="13"/>
        <v>6.0134400000000001</v>
      </c>
      <c r="BA29" s="44">
        <f t="shared" si="14"/>
        <v>3.8973089999999999</v>
      </c>
      <c r="BB29" s="44">
        <f t="shared" si="14"/>
        <v>4.7572020000000004</v>
      </c>
      <c r="BC29" s="44">
        <f t="shared" si="14"/>
        <v>5.1661770000000002</v>
      </c>
      <c r="BD29" s="44">
        <f t="shared" si="14"/>
        <v>5.1644550000000002</v>
      </c>
      <c r="BE29" s="47">
        <f t="shared" si="14"/>
        <v>18.985143000000001</v>
      </c>
      <c r="BF29" s="99" t="s">
        <v>97</v>
      </c>
      <c r="BG29" s="101"/>
    </row>
    <row r="30" spans="1:59" ht="64.95" customHeight="1">
      <c r="A30" s="99" t="s">
        <v>98</v>
      </c>
      <c r="B30" s="101"/>
      <c r="C30" s="99">
        <f t="shared" si="15"/>
        <v>970519</v>
      </c>
      <c r="D30" s="101"/>
      <c r="E30" s="21"/>
      <c r="F30" s="21"/>
      <c r="G30" s="1"/>
      <c r="H30" s="84"/>
      <c r="I30" s="1"/>
      <c r="J30" s="1"/>
      <c r="K30" s="1"/>
      <c r="L30" s="22"/>
      <c r="M30" s="1"/>
      <c r="N30" s="1"/>
      <c r="O30" s="21"/>
      <c r="P30" s="1"/>
      <c r="R30" s="83">
        <f>'Структура пр 2'!B35</f>
        <v>179109</v>
      </c>
      <c r="S30" s="83">
        <f>'Структура пр 2'!Q35</f>
        <v>243449</v>
      </c>
      <c r="T30" s="83">
        <f>'Структура пр 2'!AF35</f>
        <v>274041</v>
      </c>
      <c r="U30" s="83">
        <f>'Структура пр 2'!AU35</f>
        <v>273920</v>
      </c>
      <c r="V30" s="33">
        <f t="shared" si="8"/>
        <v>970519</v>
      </c>
      <c r="W30" s="83">
        <f>'Структура пр 2'!E35</f>
        <v>0</v>
      </c>
      <c r="X30" s="83">
        <f>'Структура пр 2'!T35</f>
        <v>0</v>
      </c>
      <c r="Y30" s="83">
        <f>'Структура пр 2'!AI35</f>
        <v>0</v>
      </c>
      <c r="Z30" s="83">
        <f>'Структура пр 2'!AX35</f>
        <v>0</v>
      </c>
      <c r="AA30" s="33">
        <f t="shared" si="9"/>
        <v>0</v>
      </c>
      <c r="AB30" s="83">
        <f>'Структура пр 2'!H35</f>
        <v>0</v>
      </c>
      <c r="AC30" s="83">
        <f>'Структура пр 2'!I35</f>
        <v>0</v>
      </c>
      <c r="AD30" s="83">
        <f>'Структура пр 2'!W35</f>
        <v>0</v>
      </c>
      <c r="AE30" s="83">
        <f>'Структура пр 2'!X35</f>
        <v>0</v>
      </c>
      <c r="AF30" s="83">
        <f>'Структура пр 2'!AL35</f>
        <v>0</v>
      </c>
      <c r="AG30" s="83">
        <f>'Структура пр 2'!AM35</f>
        <v>0</v>
      </c>
      <c r="AH30" s="83">
        <f>'Структура пр 2'!BA35</f>
        <v>0</v>
      </c>
      <c r="AI30" s="83">
        <f>'Структура пр 2'!BB35</f>
        <v>0</v>
      </c>
      <c r="AJ30" s="33">
        <f t="shared" si="10"/>
        <v>0</v>
      </c>
      <c r="AK30" s="33">
        <f>'Структура пр 2'!BB37</f>
        <v>0</v>
      </c>
      <c r="AL30" s="83">
        <f>'Структура пр 2'!M35</f>
        <v>0</v>
      </c>
      <c r="AM30" s="83">
        <f>'Структура пр 2'!AB35</f>
        <v>0</v>
      </c>
      <c r="AN30" s="83">
        <f>'Структура пр 2'!AQ35</f>
        <v>0</v>
      </c>
      <c r="AO30" s="83">
        <f>'Структура пр 2'!BF35</f>
        <v>0</v>
      </c>
      <c r="AP30" s="33">
        <f t="shared" si="11"/>
        <v>0</v>
      </c>
      <c r="AQ30" s="44">
        <f t="shared" si="12"/>
        <v>22.030407</v>
      </c>
      <c r="AR30" s="44">
        <f t="shared" si="12"/>
        <v>29.944227000000001</v>
      </c>
      <c r="AS30" s="44">
        <f t="shared" si="12"/>
        <v>33.707042999999999</v>
      </c>
      <c r="AT30" s="44">
        <f t="shared" si="12"/>
        <v>33.692160000000001</v>
      </c>
      <c r="AU30" s="47">
        <f t="shared" si="12"/>
        <v>119.37383699999999</v>
      </c>
      <c r="AV30" s="44">
        <f t="shared" si="13"/>
        <v>0</v>
      </c>
      <c r="AW30" s="44">
        <f t="shared" si="13"/>
        <v>0</v>
      </c>
      <c r="AX30" s="44">
        <f t="shared" si="13"/>
        <v>0</v>
      </c>
      <c r="AY30" s="44">
        <f t="shared" si="13"/>
        <v>0</v>
      </c>
      <c r="AZ30" s="47">
        <f t="shared" si="13"/>
        <v>0</v>
      </c>
      <c r="BA30" s="44">
        <f t="shared" si="14"/>
        <v>22.030407</v>
      </c>
      <c r="BB30" s="44">
        <f t="shared" si="14"/>
        <v>29.944227000000001</v>
      </c>
      <c r="BC30" s="44">
        <f t="shared" si="14"/>
        <v>33.707042999999999</v>
      </c>
      <c r="BD30" s="44">
        <f t="shared" si="14"/>
        <v>33.692160000000001</v>
      </c>
      <c r="BE30" s="47">
        <f t="shared" si="14"/>
        <v>119.37383699999999</v>
      </c>
      <c r="BF30" s="99" t="s">
        <v>98</v>
      </c>
      <c r="BG30" s="101"/>
    </row>
    <row r="31" spans="1:59" ht="48" customHeight="1">
      <c r="A31" s="99" t="s">
        <v>99</v>
      </c>
      <c r="B31" s="101"/>
      <c r="C31" s="99">
        <f t="shared" si="15"/>
        <v>53644</v>
      </c>
      <c r="D31" s="101"/>
      <c r="E31" s="21"/>
      <c r="F31" s="21">
        <f>AA31</f>
        <v>27.066000000000003</v>
      </c>
      <c r="G31" s="1"/>
      <c r="H31" s="84"/>
      <c r="I31" s="1"/>
      <c r="J31" s="1"/>
      <c r="K31" s="1"/>
      <c r="L31" s="22"/>
      <c r="M31" s="1"/>
      <c r="N31" s="1"/>
      <c r="O31" s="21"/>
      <c r="P31" s="1"/>
      <c r="R31" s="83">
        <f>'Структура пр 2'!B36</f>
        <v>9900</v>
      </c>
      <c r="S31" s="83">
        <f>'Структура пр 2'!Q36</f>
        <v>13456</v>
      </c>
      <c r="T31" s="83">
        <f>'Структура пр 2'!AF36</f>
        <v>15147</v>
      </c>
      <c r="U31" s="83">
        <f>'Структура пр 2'!AU36</f>
        <v>15141</v>
      </c>
      <c r="V31" s="33">
        <f t="shared" si="8"/>
        <v>53644</v>
      </c>
      <c r="W31" s="83">
        <f>'Структура пр 2'!E36</f>
        <v>13.523</v>
      </c>
      <c r="X31" s="83">
        <f>'Структура пр 2'!T36</f>
        <v>2.0859999999999999</v>
      </c>
      <c r="Y31" s="83">
        <f>'Структура пр 2'!AI36</f>
        <v>1.5660000000000001</v>
      </c>
      <c r="Z31" s="83">
        <f>'Структура пр 2'!AX36</f>
        <v>9.891</v>
      </c>
      <c r="AA31" s="33">
        <f t="shared" si="9"/>
        <v>27.066000000000003</v>
      </c>
      <c r="AB31" s="83">
        <f>'Структура пр 2'!H36</f>
        <v>0</v>
      </c>
      <c r="AC31" s="83">
        <f>'Структура пр 2'!I36</f>
        <v>0</v>
      </c>
      <c r="AD31" s="83">
        <f>'Структура пр 2'!W36</f>
        <v>0</v>
      </c>
      <c r="AE31" s="83">
        <f>'Структура пр 2'!X36</f>
        <v>0</v>
      </c>
      <c r="AF31" s="83">
        <f>'Структура пр 2'!AL36</f>
        <v>0</v>
      </c>
      <c r="AG31" s="83">
        <f>'Структура пр 2'!AM36</f>
        <v>0</v>
      </c>
      <c r="AH31" s="83">
        <f>'Структура пр 2'!BA36</f>
        <v>0</v>
      </c>
      <c r="AI31" s="83">
        <f>'Структура пр 2'!BB36</f>
        <v>0</v>
      </c>
      <c r="AJ31" s="33">
        <f t="shared" si="10"/>
        <v>0</v>
      </c>
      <c r="AK31" s="33">
        <f>'Структура пр 2'!BB38</f>
        <v>0</v>
      </c>
      <c r="AL31" s="83">
        <f>'Структура пр 2'!M36</f>
        <v>0</v>
      </c>
      <c r="AM31" s="83">
        <f>'Структура пр 2'!AB36</f>
        <v>0</v>
      </c>
      <c r="AN31" s="83">
        <f>'Структура пр 2'!AQ36</f>
        <v>0</v>
      </c>
      <c r="AO31" s="83">
        <f>'Структура пр 2'!BF36</f>
        <v>0</v>
      </c>
      <c r="AP31" s="33">
        <f t="shared" si="11"/>
        <v>0</v>
      </c>
      <c r="AQ31" s="44">
        <f t="shared" si="12"/>
        <v>1.2177</v>
      </c>
      <c r="AR31" s="44">
        <f t="shared" si="12"/>
        <v>1.6550879999999999</v>
      </c>
      <c r="AS31" s="44">
        <f t="shared" si="12"/>
        <v>1.863081</v>
      </c>
      <c r="AT31" s="44">
        <f t="shared" si="12"/>
        <v>1.8623430000000001</v>
      </c>
      <c r="AU31" s="47">
        <f t="shared" si="12"/>
        <v>6.5982119999999993</v>
      </c>
      <c r="AV31" s="44">
        <f t="shared" si="13"/>
        <v>15.686679999999999</v>
      </c>
      <c r="AW31" s="44">
        <f t="shared" si="13"/>
        <v>2.4197599999999997</v>
      </c>
      <c r="AX31" s="44">
        <f t="shared" si="13"/>
        <v>1.81656</v>
      </c>
      <c r="AY31" s="44">
        <f t="shared" si="13"/>
        <v>11.473559999999999</v>
      </c>
      <c r="AZ31" s="47">
        <f t="shared" si="13"/>
        <v>31.396560000000001</v>
      </c>
      <c r="BA31" s="44">
        <f t="shared" si="14"/>
        <v>16.90438</v>
      </c>
      <c r="BB31" s="44">
        <f t="shared" si="14"/>
        <v>4.0748479999999994</v>
      </c>
      <c r="BC31" s="44">
        <f t="shared" si="14"/>
        <v>3.6796410000000002</v>
      </c>
      <c r="BD31" s="44">
        <f t="shared" si="14"/>
        <v>13.335902999999998</v>
      </c>
      <c r="BE31" s="47">
        <f t="shared" si="14"/>
        <v>37.994771999999998</v>
      </c>
      <c r="BF31" s="99" t="s">
        <v>99</v>
      </c>
      <c r="BG31" s="101"/>
    </row>
    <row r="32" spans="1:59" ht="57" customHeight="1" thickBot="1">
      <c r="A32" s="99" t="s">
        <v>58</v>
      </c>
      <c r="B32" s="101"/>
      <c r="C32" s="99">
        <f t="shared" si="15"/>
        <v>5113953</v>
      </c>
      <c r="D32" s="101"/>
      <c r="E32" s="21"/>
      <c r="F32" s="21">
        <f>AA32</f>
        <v>32.25</v>
      </c>
      <c r="G32" s="1"/>
      <c r="H32" s="84"/>
      <c r="I32" s="1"/>
      <c r="J32" s="1"/>
      <c r="K32" s="1"/>
      <c r="L32" s="22"/>
      <c r="M32" s="1"/>
      <c r="N32" s="1"/>
      <c r="O32" s="21"/>
      <c r="P32" s="1"/>
      <c r="R32" s="83">
        <f>'Структура пр 2'!B37</f>
        <v>943780</v>
      </c>
      <c r="S32" s="83">
        <f>'Структура пр 2'!Q37</f>
        <v>1282804</v>
      </c>
      <c r="T32" s="83">
        <f>'Структура пр 2'!AF37</f>
        <v>1444004</v>
      </c>
      <c r="U32" s="83">
        <f>'Структура пр 2'!AU37</f>
        <v>1443365</v>
      </c>
      <c r="V32" s="33">
        <f t="shared" si="8"/>
        <v>5113953</v>
      </c>
      <c r="W32" s="83">
        <f>W29+W31</f>
        <v>14.818999999999999</v>
      </c>
      <c r="X32" s="83">
        <f>X29+X31</f>
        <v>3.3819999999999997</v>
      </c>
      <c r="Y32" s="83">
        <f>Y29+Y31</f>
        <v>2.8620000000000001</v>
      </c>
      <c r="Z32" s="83">
        <f>Z29+Z31</f>
        <v>11.186999999999999</v>
      </c>
      <c r="AA32" s="33">
        <f t="shared" si="9"/>
        <v>32.25</v>
      </c>
      <c r="AB32" s="83">
        <f>'Структура пр 2'!H37</f>
        <v>0</v>
      </c>
      <c r="AC32" s="83">
        <f>'Структура пр 2'!I37</f>
        <v>0</v>
      </c>
      <c r="AD32" s="83">
        <f>'Структура пр 2'!W37</f>
        <v>0</v>
      </c>
      <c r="AE32" s="83">
        <f>'Структура пр 2'!X37</f>
        <v>0</v>
      </c>
      <c r="AF32" s="83">
        <f>'Структура пр 2'!AL37</f>
        <v>0</v>
      </c>
      <c r="AG32" s="83">
        <f>'Структура пр 2'!AM37</f>
        <v>0</v>
      </c>
      <c r="AH32" s="83">
        <f>'Структура пр 2'!BA37</f>
        <v>0</v>
      </c>
      <c r="AI32" s="83">
        <f>'Структура пр 2'!BB37</f>
        <v>0</v>
      </c>
      <c r="AJ32" s="33">
        <f t="shared" si="10"/>
        <v>0</v>
      </c>
      <c r="AK32" s="33">
        <f>'Структура пр 2'!BB45</f>
        <v>0</v>
      </c>
      <c r="AL32" s="83">
        <f>'Структура пр 2'!M37</f>
        <v>0</v>
      </c>
      <c r="AM32" s="83">
        <f>'Структура пр 2'!AB37</f>
        <v>0</v>
      </c>
      <c r="AN32" s="83">
        <f>'Структура пр 2'!AQ37</f>
        <v>0</v>
      </c>
      <c r="AO32" s="83">
        <f>'Структура пр 2'!BF37</f>
        <v>0</v>
      </c>
      <c r="AP32" s="33">
        <f t="shared" si="11"/>
        <v>0</v>
      </c>
      <c r="AQ32" s="44">
        <f t="shared" si="12"/>
        <v>116.08493999999999</v>
      </c>
      <c r="AR32" s="44">
        <f t="shared" si="12"/>
        <v>157.78489200000001</v>
      </c>
      <c r="AS32" s="44">
        <f t="shared" si="12"/>
        <v>177.61249199999997</v>
      </c>
      <c r="AT32" s="44">
        <f t="shared" si="12"/>
        <v>177.533895</v>
      </c>
      <c r="AU32" s="47">
        <f t="shared" si="12"/>
        <v>629.01621900000009</v>
      </c>
      <c r="AV32" s="44">
        <f t="shared" si="13"/>
        <v>17.190039999999996</v>
      </c>
      <c r="AW32" s="44">
        <f t="shared" si="13"/>
        <v>3.9231199999999995</v>
      </c>
      <c r="AX32" s="44">
        <f t="shared" si="13"/>
        <v>3.3199199999999998</v>
      </c>
      <c r="AY32" s="44">
        <f t="shared" si="13"/>
        <v>12.976919999999998</v>
      </c>
      <c r="AZ32" s="47">
        <f t="shared" si="13"/>
        <v>37.409999999999997</v>
      </c>
      <c r="BA32" s="44">
        <f t="shared" si="14"/>
        <v>133.27497999999997</v>
      </c>
      <c r="BB32" s="44">
        <f t="shared" si="14"/>
        <v>161.70801200000002</v>
      </c>
      <c r="BC32" s="44">
        <f t="shared" si="14"/>
        <v>180.93241199999997</v>
      </c>
      <c r="BD32" s="44">
        <f t="shared" si="14"/>
        <v>190.51081500000001</v>
      </c>
      <c r="BE32" s="47">
        <f t="shared" si="14"/>
        <v>666.42621900000006</v>
      </c>
      <c r="BF32" s="99" t="s">
        <v>58</v>
      </c>
      <c r="BG32" s="101"/>
    </row>
    <row r="33" spans="1:59" ht="99" customHeight="1" thickBot="1">
      <c r="A33" s="99" t="s">
        <v>239</v>
      </c>
      <c r="B33" s="101"/>
      <c r="C33" s="99">
        <f>V33</f>
        <v>5210438</v>
      </c>
      <c r="D33" s="101"/>
      <c r="E33" s="21"/>
      <c r="F33" s="21"/>
      <c r="G33" s="1"/>
      <c r="H33" s="84"/>
      <c r="I33" s="1"/>
      <c r="J33" s="1"/>
      <c r="K33" s="1"/>
      <c r="L33" s="22"/>
      <c r="M33" s="1"/>
      <c r="N33" s="1"/>
      <c r="O33" s="21"/>
      <c r="P33" s="1"/>
      <c r="R33" s="83">
        <f>'Структура пр 2'!B39+'Структура пр 2'!B40+'Структура пр 2'!B41+'Структура пр 2'!B42+'Структура пр 2'!B43</f>
        <v>1279578</v>
      </c>
      <c r="S33" s="83">
        <f>'Структура пр 2'!Q39+'Структура пр 2'!Q40+'Структура пр 2'!Q41+'Структура пр 2'!Q42+'Структура пр 2'!Q43</f>
        <v>1323899</v>
      </c>
      <c r="T33" s="83">
        <f>'Структура пр 2'!AF39+'Структура пр 2'!AF40+'Структура пр 2'!AF41+'Структура пр 2'!AF42+'Структура пр 2'!AF43</f>
        <v>1365204</v>
      </c>
      <c r="U33" s="83">
        <f>'Структура пр 2'!AU39+'Структура пр 2'!AU40+'Структура пр 2'!AU41+'Структура пр 2'!AU42+'Структура пр 2'!AU43</f>
        <v>1241757</v>
      </c>
      <c r="V33" s="33">
        <f t="shared" si="8"/>
        <v>5210438</v>
      </c>
      <c r="W33" s="83"/>
      <c r="X33" s="83"/>
      <c r="Y33" s="83"/>
      <c r="Z33" s="83"/>
      <c r="AA33" s="33">
        <f t="shared" si="9"/>
        <v>0</v>
      </c>
      <c r="AB33" s="83"/>
      <c r="AC33" s="83"/>
      <c r="AD33" s="83"/>
      <c r="AE33" s="83"/>
      <c r="AF33" s="83"/>
      <c r="AG33" s="83"/>
      <c r="AH33" s="83"/>
      <c r="AI33" s="83"/>
      <c r="AJ33" s="33">
        <f t="shared" si="10"/>
        <v>0</v>
      </c>
      <c r="AK33" s="33">
        <f>'Структура пр 2'!BB46</f>
        <v>0</v>
      </c>
      <c r="AL33" s="83"/>
      <c r="AM33" s="83"/>
      <c r="AN33" s="83"/>
      <c r="AO33" s="83"/>
      <c r="AP33" s="33">
        <f t="shared" si="11"/>
        <v>0</v>
      </c>
      <c r="AQ33" s="81"/>
      <c r="AR33" s="81"/>
      <c r="AS33" s="81"/>
      <c r="AT33" s="81"/>
      <c r="AU33" s="46">
        <f>V33/1000*0.123</f>
        <v>640.88387399999999</v>
      </c>
      <c r="AV33" s="42"/>
      <c r="AW33" s="42"/>
      <c r="AX33" s="42"/>
      <c r="AY33" s="42"/>
      <c r="AZ33" s="46">
        <f>AA33*1.16</f>
        <v>0</v>
      </c>
      <c r="BA33" s="81"/>
      <c r="BB33" s="81"/>
      <c r="BC33" s="81"/>
      <c r="BD33" s="81"/>
      <c r="BE33" s="46">
        <f>AU33+AZ33</f>
        <v>640.88387399999999</v>
      </c>
    </row>
    <row r="38" spans="1:59" ht="17.399999999999999" customHeight="1">
      <c r="A38" s="117" t="s">
        <v>75</v>
      </c>
      <c r="B38" s="92"/>
      <c r="C38" s="92"/>
      <c r="D38" s="92"/>
      <c r="E38" s="92"/>
      <c r="F38" s="92"/>
      <c r="G38" s="92"/>
      <c r="H38" s="92"/>
      <c r="I38" s="92"/>
      <c r="J38" s="92"/>
      <c r="K38" s="92"/>
      <c r="L38" s="92"/>
      <c r="M38" s="92"/>
      <c r="N38" s="92"/>
      <c r="O38" s="92"/>
      <c r="P38" s="92"/>
    </row>
    <row r="39" spans="1:59" ht="15.6" customHeight="1">
      <c r="A39" s="98"/>
      <c r="B39" s="93"/>
      <c r="C39" s="84"/>
      <c r="D39" s="84"/>
      <c r="E39" s="20"/>
      <c r="F39" s="20"/>
      <c r="G39" s="84"/>
      <c r="H39" s="84"/>
      <c r="I39" s="84"/>
      <c r="J39" s="84"/>
      <c r="K39" s="84"/>
      <c r="L39" s="84"/>
      <c r="M39" s="84"/>
      <c r="N39" s="84"/>
      <c r="O39" s="115" t="s">
        <v>76</v>
      </c>
      <c r="P39" s="93"/>
    </row>
    <row r="40" spans="1:59" ht="15.6" customHeight="1">
      <c r="A40" s="111" t="s">
        <v>30</v>
      </c>
      <c r="B40" s="95"/>
      <c r="C40" s="111" t="s">
        <v>77</v>
      </c>
      <c r="D40" s="101"/>
      <c r="E40" s="102" t="s">
        <v>32</v>
      </c>
      <c r="F40" s="102" t="s">
        <v>33</v>
      </c>
      <c r="G40" s="102" t="s">
        <v>34</v>
      </c>
      <c r="H40" s="102" t="s">
        <v>35</v>
      </c>
      <c r="I40" s="95"/>
      <c r="J40" s="102" t="s">
        <v>36</v>
      </c>
      <c r="K40" s="103"/>
      <c r="L40" s="103"/>
      <c r="M40" s="103"/>
      <c r="N40" s="101"/>
      <c r="O40" s="102" t="s">
        <v>37</v>
      </c>
      <c r="P40" s="102" t="s">
        <v>7</v>
      </c>
      <c r="R40" s="104" t="s">
        <v>78</v>
      </c>
      <c r="S40" s="94"/>
      <c r="T40" s="94"/>
      <c r="U40" s="94"/>
      <c r="V40" s="94"/>
      <c r="W40" s="94"/>
      <c r="X40" s="94"/>
      <c r="Y40" s="94"/>
      <c r="Z40" s="94"/>
      <c r="AA40" s="94"/>
      <c r="AB40" s="94"/>
      <c r="AC40" s="94"/>
      <c r="AD40" s="94"/>
      <c r="AE40" s="94"/>
      <c r="AF40" s="94"/>
      <c r="AG40" s="94"/>
      <c r="AH40" s="94"/>
      <c r="AI40" s="94"/>
      <c r="AJ40" s="94"/>
      <c r="AK40" s="94"/>
      <c r="AL40" s="94"/>
      <c r="AM40" s="94"/>
      <c r="AN40" s="94"/>
      <c r="AO40" s="94"/>
      <c r="AP40" s="91"/>
      <c r="AQ40" s="116" t="s">
        <v>101</v>
      </c>
      <c r="AR40" s="94"/>
      <c r="AS40" s="94"/>
      <c r="AT40" s="94"/>
      <c r="AU40" s="94"/>
      <c r="AV40" s="94"/>
      <c r="AW40" s="94"/>
      <c r="AX40" s="94"/>
      <c r="AY40" s="94"/>
      <c r="AZ40" s="94"/>
      <c r="BA40" s="94"/>
      <c r="BB40" s="94"/>
      <c r="BC40" s="94"/>
      <c r="BD40" s="94"/>
      <c r="BE40" s="91"/>
    </row>
    <row r="41" spans="1:59">
      <c r="A41" s="107"/>
      <c r="B41" s="108"/>
      <c r="C41" s="99" t="s">
        <v>80</v>
      </c>
      <c r="D41" s="99" t="s">
        <v>39</v>
      </c>
      <c r="E41" s="106"/>
      <c r="F41" s="106"/>
      <c r="G41" s="106"/>
      <c r="H41" s="107"/>
      <c r="I41" s="108"/>
      <c r="J41" s="99" t="s">
        <v>41</v>
      </c>
      <c r="K41" s="99" t="s">
        <v>81</v>
      </c>
      <c r="L41" s="113" t="s">
        <v>42</v>
      </c>
      <c r="M41" s="99" t="s">
        <v>82</v>
      </c>
      <c r="N41" s="114" t="s">
        <v>83</v>
      </c>
      <c r="O41" s="106"/>
      <c r="P41" s="106"/>
      <c r="R41" s="104" t="s">
        <v>84</v>
      </c>
      <c r="S41" s="94"/>
      <c r="T41" s="94"/>
      <c r="U41" s="94"/>
      <c r="V41" s="91"/>
      <c r="W41" s="104" t="s">
        <v>85</v>
      </c>
      <c r="X41" s="94"/>
      <c r="Y41" s="94"/>
      <c r="Z41" s="94"/>
      <c r="AA41" s="91"/>
      <c r="AB41" s="104" t="s">
        <v>86</v>
      </c>
      <c r="AC41" s="94"/>
      <c r="AD41" s="94"/>
      <c r="AE41" s="94"/>
      <c r="AF41" s="94"/>
      <c r="AG41" s="94"/>
      <c r="AH41" s="94"/>
      <c r="AI41" s="94"/>
      <c r="AJ41" s="94"/>
      <c r="AK41" s="91"/>
      <c r="AL41" s="104" t="s">
        <v>87</v>
      </c>
      <c r="AM41" s="94"/>
      <c r="AN41" s="94"/>
      <c r="AO41" s="94"/>
      <c r="AP41" s="91"/>
      <c r="AQ41" s="118" t="s">
        <v>88</v>
      </c>
      <c r="AR41" s="94"/>
      <c r="AS41" s="94"/>
      <c r="AT41" s="94"/>
      <c r="AU41" s="91"/>
      <c r="AV41" s="118" t="s">
        <v>89</v>
      </c>
      <c r="AW41" s="94"/>
      <c r="AX41" s="94"/>
      <c r="AY41" s="94"/>
      <c r="AZ41" s="91"/>
      <c r="BA41" s="118" t="s">
        <v>90</v>
      </c>
      <c r="BB41" s="94"/>
      <c r="BC41" s="94"/>
      <c r="BD41" s="94"/>
      <c r="BE41" s="91"/>
    </row>
    <row r="42" spans="1:59">
      <c r="A42" s="107"/>
      <c r="B42" s="108"/>
      <c r="C42" s="100"/>
      <c r="D42" s="100"/>
      <c r="E42" s="100"/>
      <c r="F42" s="100"/>
      <c r="G42" s="100"/>
      <c r="H42" s="109"/>
      <c r="I42" s="110"/>
      <c r="J42" s="100"/>
      <c r="K42" s="100"/>
      <c r="L42" s="100"/>
      <c r="M42" s="100"/>
      <c r="N42" s="100"/>
      <c r="O42" s="100"/>
      <c r="P42" s="106"/>
      <c r="R42" s="83"/>
      <c r="S42" s="83"/>
      <c r="T42" s="83"/>
      <c r="U42" s="83"/>
      <c r="V42" s="83"/>
      <c r="W42" s="83"/>
      <c r="X42" s="83"/>
      <c r="Y42" s="83"/>
      <c r="Z42" s="83"/>
      <c r="AA42" s="83"/>
      <c r="AB42" s="83" t="s">
        <v>91</v>
      </c>
      <c r="AC42" s="83" t="s">
        <v>92</v>
      </c>
      <c r="AD42" s="83" t="s">
        <v>91</v>
      </c>
      <c r="AE42" s="83" t="s">
        <v>92</v>
      </c>
      <c r="AF42" s="83" t="s">
        <v>91</v>
      </c>
      <c r="AG42" s="83" t="s">
        <v>92</v>
      </c>
      <c r="AH42" s="83" t="s">
        <v>91</v>
      </c>
      <c r="AI42" s="83" t="s">
        <v>92</v>
      </c>
      <c r="AJ42" s="83" t="s">
        <v>91</v>
      </c>
      <c r="AK42" s="83" t="s">
        <v>92</v>
      </c>
      <c r="AL42" s="83"/>
      <c r="AM42" s="83"/>
      <c r="AN42" s="83"/>
      <c r="AO42" s="83"/>
      <c r="AP42" s="83"/>
      <c r="AQ42" s="42"/>
      <c r="AR42" s="42"/>
      <c r="AS42" s="42"/>
      <c r="AT42" s="42"/>
      <c r="AU42" s="42"/>
      <c r="AV42" s="42"/>
      <c r="AW42" s="42"/>
      <c r="AX42" s="42"/>
      <c r="AY42" s="42"/>
      <c r="AZ42" s="42"/>
      <c r="BA42" s="42"/>
      <c r="BB42" s="42"/>
      <c r="BC42" s="42"/>
      <c r="BD42" s="42"/>
      <c r="BE42" s="42"/>
    </row>
    <row r="43" spans="1:59" ht="21" customHeight="1">
      <c r="A43" s="109"/>
      <c r="B43" s="110"/>
      <c r="C43" s="1"/>
      <c r="D43" s="1"/>
      <c r="E43" s="21" t="s">
        <v>47</v>
      </c>
      <c r="F43" s="21" t="s">
        <v>93</v>
      </c>
      <c r="G43" s="1" t="s">
        <v>49</v>
      </c>
      <c r="H43" s="99" t="s">
        <v>49</v>
      </c>
      <c r="I43" s="101"/>
      <c r="J43" s="99" t="s">
        <v>49</v>
      </c>
      <c r="K43" s="103"/>
      <c r="L43" s="103"/>
      <c r="M43" s="103"/>
      <c r="N43" s="101"/>
      <c r="O43" s="21" t="s">
        <v>50</v>
      </c>
      <c r="P43" s="100"/>
      <c r="R43" s="82">
        <v>1</v>
      </c>
      <c r="S43" s="82">
        <v>2</v>
      </c>
      <c r="T43" s="82">
        <v>3</v>
      </c>
      <c r="U43" s="82">
        <v>4</v>
      </c>
      <c r="V43" s="32" t="s">
        <v>94</v>
      </c>
      <c r="W43" s="82">
        <v>1</v>
      </c>
      <c r="X43" s="82">
        <v>2</v>
      </c>
      <c r="Y43" s="82">
        <v>3</v>
      </c>
      <c r="Z43" s="82">
        <v>4</v>
      </c>
      <c r="AA43" s="32" t="s">
        <v>94</v>
      </c>
      <c r="AB43" s="105">
        <v>1</v>
      </c>
      <c r="AC43" s="91"/>
      <c r="AD43" s="105">
        <v>2</v>
      </c>
      <c r="AE43" s="91"/>
      <c r="AF43" s="105">
        <v>3</v>
      </c>
      <c r="AG43" s="91"/>
      <c r="AH43" s="105">
        <v>4</v>
      </c>
      <c r="AI43" s="91"/>
      <c r="AJ43" s="112" t="s">
        <v>94</v>
      </c>
      <c r="AK43" s="91"/>
      <c r="AL43" s="82">
        <v>1</v>
      </c>
      <c r="AM43" s="82">
        <v>2</v>
      </c>
      <c r="AN43" s="82">
        <v>3</v>
      </c>
      <c r="AO43" s="82">
        <v>4</v>
      </c>
      <c r="AP43" s="32" t="s">
        <v>94</v>
      </c>
      <c r="AQ43" s="43">
        <v>1</v>
      </c>
      <c r="AR43" s="43">
        <v>2</v>
      </c>
      <c r="AS43" s="43">
        <v>3</v>
      </c>
      <c r="AT43" s="43">
        <v>4</v>
      </c>
      <c r="AU43" s="45" t="s">
        <v>94</v>
      </c>
      <c r="AV43" s="43">
        <v>1</v>
      </c>
      <c r="AW43" s="43">
        <v>2</v>
      </c>
      <c r="AX43" s="43">
        <v>3</v>
      </c>
      <c r="AY43" s="43">
        <v>4</v>
      </c>
      <c r="AZ43" s="45" t="s">
        <v>94</v>
      </c>
      <c r="BA43" s="43">
        <v>1</v>
      </c>
      <c r="BB43" s="43">
        <v>2</v>
      </c>
      <c r="BC43" s="43">
        <v>3</v>
      </c>
      <c r="BD43" s="43">
        <v>4</v>
      </c>
      <c r="BE43" s="45" t="s">
        <v>94</v>
      </c>
    </row>
    <row r="44" spans="1:59" ht="36" customHeight="1">
      <c r="A44" s="99" t="s">
        <v>51</v>
      </c>
      <c r="B44" s="101"/>
      <c r="C44" s="1">
        <f>V44</f>
        <v>4950000</v>
      </c>
      <c r="D44" s="1">
        <f>'Узел учета '!D5</f>
        <v>1825000</v>
      </c>
      <c r="E44" s="21"/>
      <c r="F44" s="21"/>
      <c r="G44" s="1"/>
      <c r="H44" s="84"/>
      <c r="I44" s="1"/>
      <c r="J44" s="1"/>
      <c r="K44" s="1"/>
      <c r="L44" s="22"/>
      <c r="M44" s="1"/>
      <c r="N44" s="1"/>
      <c r="O44" s="21"/>
      <c r="P44" s="1"/>
      <c r="R44" s="83">
        <f>'Структура пр 2'!B52</f>
        <v>1200000</v>
      </c>
      <c r="S44" s="83">
        <f>'Структура пр 2'!Q52</f>
        <v>1200000</v>
      </c>
      <c r="T44" s="83">
        <f>'Структура пр 2'!AF52</f>
        <v>1200000</v>
      </c>
      <c r="U44" s="83">
        <f>'Структура пр 2'!AU52</f>
        <v>1350000</v>
      </c>
      <c r="V44" s="33">
        <f t="shared" ref="V44:V52" si="16">U44+T44+S44+R44</f>
        <v>4950000</v>
      </c>
      <c r="W44" s="83">
        <f>'Структура пр 2'!E52</f>
        <v>0</v>
      </c>
      <c r="X44" s="83">
        <f>'Структура пр 2'!T52</f>
        <v>0</v>
      </c>
      <c r="Y44" s="83">
        <f>'Структура пр 2'!AI52</f>
        <v>0</v>
      </c>
      <c r="Z44" s="83">
        <f>'Структура пр 2'!AX52</f>
        <v>0</v>
      </c>
      <c r="AA44" s="33">
        <f t="shared" ref="AA44:AA52" si="17">Z44+Y44+X44+W44</f>
        <v>0</v>
      </c>
      <c r="AB44" s="83">
        <f>'Структура пр 2'!H52</f>
        <v>0</v>
      </c>
      <c r="AC44" s="83">
        <f>'Структура пр 2'!I52</f>
        <v>0</v>
      </c>
      <c r="AD44" s="83">
        <f>'Структура пр 2'!W52</f>
        <v>0</v>
      </c>
      <c r="AE44" s="83">
        <f>'Структура пр 2'!X52</f>
        <v>0</v>
      </c>
      <c r="AF44" s="83">
        <f>'Структура пр 2'!AL52</f>
        <v>0</v>
      </c>
      <c r="AG44" s="83">
        <f>'Структура пр 2'!AM52</f>
        <v>0</v>
      </c>
      <c r="AH44" s="83">
        <f>'Структура пр 2'!AL52</f>
        <v>0</v>
      </c>
      <c r="AI44" s="83">
        <f>'Структура пр 2'!AM52</f>
        <v>0</v>
      </c>
      <c r="AJ44" s="33">
        <f t="shared" ref="AJ44:AJ52" si="18">AH44+AF44+AD44+AB44</f>
        <v>0</v>
      </c>
      <c r="AK44" s="33">
        <f>'Структура пр 2'!BB57</f>
        <v>0</v>
      </c>
      <c r="AL44" s="83">
        <f>'Структура пр 2'!M52</f>
        <v>0</v>
      </c>
      <c r="AM44" s="83">
        <f>'Структура пр 2'!AB52</f>
        <v>0</v>
      </c>
      <c r="AN44" s="83">
        <f>'Структура пр 2'!AQ52</f>
        <v>0</v>
      </c>
      <c r="AO44" s="83">
        <f>'Структура пр 2'!BF52</f>
        <v>0</v>
      </c>
      <c r="AP44" s="33">
        <f t="shared" ref="AP44:AP52" si="19">AO44+AN44+AM44+AL44</f>
        <v>0</v>
      </c>
      <c r="AQ44" s="81">
        <f t="shared" ref="AQ44:AU51" si="20">R44/1000*0.123</f>
        <v>147.6</v>
      </c>
      <c r="AR44" s="81">
        <f t="shared" si="20"/>
        <v>147.6</v>
      </c>
      <c r="AS44" s="81">
        <f t="shared" si="20"/>
        <v>147.6</v>
      </c>
      <c r="AT44" s="81">
        <f t="shared" si="20"/>
        <v>166.05</v>
      </c>
      <c r="AU44" s="46">
        <f t="shared" si="20"/>
        <v>608.85</v>
      </c>
      <c r="AV44" s="81">
        <f t="shared" ref="AV44:AZ51" si="21">W44*1.16</f>
        <v>0</v>
      </c>
      <c r="AW44" s="81">
        <f t="shared" si="21"/>
        <v>0</v>
      </c>
      <c r="AX44" s="81">
        <f t="shared" si="21"/>
        <v>0</v>
      </c>
      <c r="AY44" s="81">
        <f t="shared" si="21"/>
        <v>0</v>
      </c>
      <c r="AZ44" s="46">
        <f t="shared" si="21"/>
        <v>0</v>
      </c>
      <c r="BA44" s="81">
        <f t="shared" ref="BA44:BE51" si="22">AQ44+AV44</f>
        <v>147.6</v>
      </c>
      <c r="BB44" s="81">
        <f t="shared" si="22"/>
        <v>147.6</v>
      </c>
      <c r="BC44" s="81">
        <f t="shared" si="22"/>
        <v>147.6</v>
      </c>
      <c r="BD44" s="81">
        <f t="shared" si="22"/>
        <v>166.05</v>
      </c>
      <c r="BE44" s="46">
        <f t="shared" si="22"/>
        <v>608.85</v>
      </c>
      <c r="BF44" s="99" t="s">
        <v>51</v>
      </c>
      <c r="BG44" s="101"/>
    </row>
    <row r="45" spans="1:59" ht="40.950000000000003" customHeight="1">
      <c r="A45" s="99" t="s">
        <v>95</v>
      </c>
      <c r="B45" s="101"/>
      <c r="C45" s="99"/>
      <c r="D45" s="101"/>
      <c r="E45" s="21"/>
      <c r="F45" s="21"/>
      <c r="G45" s="1"/>
      <c r="H45" s="84"/>
      <c r="I45" s="1"/>
      <c r="J45" s="1"/>
      <c r="K45" s="1"/>
      <c r="L45" s="22"/>
      <c r="M45" s="1"/>
      <c r="N45" s="1"/>
      <c r="O45" s="21"/>
      <c r="P45" s="1"/>
      <c r="R45" s="83">
        <f>'Структура пр 2'!B53</f>
        <v>0</v>
      </c>
      <c r="S45" s="83">
        <f>'Структура пр 2'!Q53</f>
        <v>0</v>
      </c>
      <c r="T45" s="83">
        <f>'Структура пр 2'!AF53</f>
        <v>0</v>
      </c>
      <c r="U45" s="83">
        <f>'Структура пр 2'!AU53</f>
        <v>0</v>
      </c>
      <c r="V45" s="33">
        <f t="shared" si="16"/>
        <v>0</v>
      </c>
      <c r="W45" s="83">
        <f>'Структура пр 2'!E53</f>
        <v>0</v>
      </c>
      <c r="X45" s="83">
        <f>'Структура пр 2'!T53</f>
        <v>0</v>
      </c>
      <c r="Y45" s="83">
        <f>'Структура пр 2'!AI53</f>
        <v>0</v>
      </c>
      <c r="Z45" s="83">
        <f>'Структура пр 2'!AX53</f>
        <v>0</v>
      </c>
      <c r="AA45" s="33">
        <f t="shared" si="17"/>
        <v>0</v>
      </c>
      <c r="AB45" s="83">
        <f>'Структура пр 2'!H53</f>
        <v>0</v>
      </c>
      <c r="AC45" s="83">
        <f>'Структура пр 2'!I53</f>
        <v>0</v>
      </c>
      <c r="AD45" s="83">
        <f>'Структура пр 2'!W53</f>
        <v>0</v>
      </c>
      <c r="AE45" s="83">
        <f>'Структура пр 2'!X53</f>
        <v>0</v>
      </c>
      <c r="AF45" s="83">
        <f>'Структура пр 2'!AL53</f>
        <v>0</v>
      </c>
      <c r="AG45" s="83">
        <f>'Структура пр 2'!AM53</f>
        <v>0</v>
      </c>
      <c r="AH45" s="83">
        <f>'Структура пр 2'!AL53</f>
        <v>0</v>
      </c>
      <c r="AI45" s="83">
        <f>'Структура пр 2'!AM53</f>
        <v>0</v>
      </c>
      <c r="AJ45" s="33">
        <f t="shared" si="18"/>
        <v>0</v>
      </c>
      <c r="AK45" s="33">
        <f>'Структура пр 2'!BB58</f>
        <v>0</v>
      </c>
      <c r="AL45" s="83">
        <f>'Структура пр 2'!M53</f>
        <v>0</v>
      </c>
      <c r="AM45" s="83">
        <f>'Структура пр 2'!AB53</f>
        <v>0</v>
      </c>
      <c r="AN45" s="83">
        <f>'Структура пр 2'!AQ53</f>
        <v>0</v>
      </c>
      <c r="AO45" s="83">
        <f>'Структура пр 2'!BF53</f>
        <v>0</v>
      </c>
      <c r="AP45" s="33">
        <f t="shared" si="19"/>
        <v>0</v>
      </c>
      <c r="AQ45" s="81">
        <f t="shared" si="20"/>
        <v>0</v>
      </c>
      <c r="AR45" s="81">
        <f t="shared" si="20"/>
        <v>0</v>
      </c>
      <c r="AS45" s="81">
        <f t="shared" si="20"/>
        <v>0</v>
      </c>
      <c r="AT45" s="81">
        <f t="shared" si="20"/>
        <v>0</v>
      </c>
      <c r="AU45" s="46">
        <f t="shared" si="20"/>
        <v>0</v>
      </c>
      <c r="AV45" s="81">
        <f t="shared" si="21"/>
        <v>0</v>
      </c>
      <c r="AW45" s="81">
        <f t="shared" si="21"/>
        <v>0</v>
      </c>
      <c r="AX45" s="81">
        <f t="shared" si="21"/>
        <v>0</v>
      </c>
      <c r="AY45" s="81">
        <f t="shared" si="21"/>
        <v>0</v>
      </c>
      <c r="AZ45" s="46">
        <f t="shared" si="21"/>
        <v>0</v>
      </c>
      <c r="BA45" s="81">
        <f t="shared" si="22"/>
        <v>0</v>
      </c>
      <c r="BB45" s="81">
        <f t="shared" si="22"/>
        <v>0</v>
      </c>
      <c r="BC45" s="81">
        <f t="shared" si="22"/>
        <v>0</v>
      </c>
      <c r="BD45" s="81">
        <f t="shared" si="22"/>
        <v>0</v>
      </c>
      <c r="BE45" s="46">
        <f t="shared" si="22"/>
        <v>0</v>
      </c>
      <c r="BF45" s="99" t="s">
        <v>95</v>
      </c>
      <c r="BG45" s="101"/>
    </row>
    <row r="46" spans="1:59" ht="40.950000000000003" customHeight="1">
      <c r="A46" s="99" t="s">
        <v>53</v>
      </c>
      <c r="B46" s="101"/>
      <c r="C46" s="99">
        <f t="shared" ref="C46:C51" si="23">V46</f>
        <v>4868248</v>
      </c>
      <c r="D46" s="101"/>
      <c r="E46" s="21"/>
      <c r="F46" s="21">
        <f>AA46</f>
        <v>38.759</v>
      </c>
      <c r="G46" s="1"/>
      <c r="H46" s="84"/>
      <c r="I46" s="1"/>
      <c r="J46" s="1"/>
      <c r="K46" s="1"/>
      <c r="L46" s="22"/>
      <c r="M46" s="1"/>
      <c r="N46" s="1"/>
      <c r="O46" s="21"/>
      <c r="P46" s="1"/>
      <c r="R46" s="83">
        <f>'Структура пр 2'!B54</f>
        <v>1156453</v>
      </c>
      <c r="S46" s="83">
        <f>'Структура пр 2'!Q54</f>
        <v>1038843</v>
      </c>
      <c r="T46" s="83">
        <f>'Структура пр 2'!AF54</f>
        <v>1293246</v>
      </c>
      <c r="U46" s="83">
        <f>'Структура пр 2'!AU54</f>
        <v>1379706</v>
      </c>
      <c r="V46" s="33">
        <f t="shared" si="16"/>
        <v>4868248</v>
      </c>
      <c r="W46" s="83">
        <f>'Структура пр 2'!E54</f>
        <v>22.077999999999999</v>
      </c>
      <c r="X46" s="83">
        <f>'Структура пр 2'!T54</f>
        <v>2.7080000000000002</v>
      </c>
      <c r="Y46" s="83">
        <f>'Структура пр 2'!AI54</f>
        <v>2.1709999999999998</v>
      </c>
      <c r="Z46" s="83">
        <f>'Структура пр 2'!AX54</f>
        <v>11.802</v>
      </c>
      <c r="AA46" s="33">
        <f t="shared" si="17"/>
        <v>38.759</v>
      </c>
      <c r="AB46" s="83">
        <f>'Структура пр 2'!H54</f>
        <v>0</v>
      </c>
      <c r="AC46" s="83">
        <f>'Структура пр 2'!I54</f>
        <v>0</v>
      </c>
      <c r="AD46" s="83">
        <f>'Структура пр 2'!W54</f>
        <v>0</v>
      </c>
      <c r="AE46" s="83">
        <f>'Структура пр 2'!X54</f>
        <v>0</v>
      </c>
      <c r="AF46" s="83">
        <f>'Структура пр 2'!AL54</f>
        <v>0</v>
      </c>
      <c r="AG46" s="83">
        <f>'Структура пр 2'!AM54</f>
        <v>0</v>
      </c>
      <c r="AH46" s="83">
        <f>'Структура пр 2'!AL54</f>
        <v>0</v>
      </c>
      <c r="AI46" s="83">
        <f>'Структура пр 2'!AM54</f>
        <v>0</v>
      </c>
      <c r="AJ46" s="33">
        <f t="shared" si="18"/>
        <v>0</v>
      </c>
      <c r="AK46" s="33">
        <f>'Структура пр 2'!BB59</f>
        <v>0</v>
      </c>
      <c r="AL46" s="83">
        <f>'Структура пр 2'!M54</f>
        <v>1238</v>
      </c>
      <c r="AM46" s="83">
        <f>'Структура пр 2'!AB54</f>
        <v>1849</v>
      </c>
      <c r="AN46" s="83">
        <f>'Структура пр 2'!AQ54</f>
        <v>1827</v>
      </c>
      <c r="AO46" s="83">
        <f>'Структура пр 2'!BF54</f>
        <v>2092</v>
      </c>
      <c r="AP46" s="33">
        <f t="shared" si="19"/>
        <v>7006</v>
      </c>
      <c r="AQ46" s="44">
        <f t="shared" si="20"/>
        <v>142.243719</v>
      </c>
      <c r="AR46" s="44">
        <f t="shared" si="20"/>
        <v>127.77768900000001</v>
      </c>
      <c r="AS46" s="44">
        <f t="shared" si="20"/>
        <v>159.06925800000002</v>
      </c>
      <c r="AT46" s="44">
        <f t="shared" si="20"/>
        <v>169.70383799999999</v>
      </c>
      <c r="AU46" s="47">
        <f t="shared" si="20"/>
        <v>598.79450399999996</v>
      </c>
      <c r="AV46" s="44">
        <f t="shared" si="21"/>
        <v>25.610479999999999</v>
      </c>
      <c r="AW46" s="44">
        <f t="shared" si="21"/>
        <v>3.1412800000000001</v>
      </c>
      <c r="AX46" s="44">
        <f t="shared" si="21"/>
        <v>2.5183599999999995</v>
      </c>
      <c r="AY46" s="44">
        <f t="shared" si="21"/>
        <v>13.690319999999998</v>
      </c>
      <c r="AZ46" s="47">
        <f t="shared" si="21"/>
        <v>44.960439999999998</v>
      </c>
      <c r="BA46" s="44">
        <f t="shared" si="22"/>
        <v>167.85419899999999</v>
      </c>
      <c r="BB46" s="44">
        <f t="shared" si="22"/>
        <v>130.918969</v>
      </c>
      <c r="BC46" s="44">
        <f t="shared" si="22"/>
        <v>161.58761800000002</v>
      </c>
      <c r="BD46" s="44">
        <f t="shared" si="22"/>
        <v>183.39415799999998</v>
      </c>
      <c r="BE46" s="47">
        <f t="shared" si="22"/>
        <v>643.75494399999991</v>
      </c>
      <c r="BF46" s="99" t="s">
        <v>53</v>
      </c>
      <c r="BG46" s="101"/>
    </row>
    <row r="47" spans="1:59" ht="61.2" customHeight="1">
      <c r="A47" s="99" t="s">
        <v>96</v>
      </c>
      <c r="B47" s="101"/>
      <c r="C47" s="99">
        <f t="shared" si="23"/>
        <v>3825344</v>
      </c>
      <c r="D47" s="101"/>
      <c r="E47" s="21"/>
      <c r="F47" s="21"/>
      <c r="G47" s="1"/>
      <c r="H47" s="84"/>
      <c r="I47" s="1"/>
      <c r="J47" s="1"/>
      <c r="K47" s="1"/>
      <c r="L47" s="22"/>
      <c r="M47" s="1"/>
      <c r="N47" s="1"/>
      <c r="O47" s="21"/>
      <c r="P47" s="1"/>
      <c r="R47" s="83">
        <f>'Структура пр 2'!B55</f>
        <v>908711</v>
      </c>
      <c r="S47" s="83">
        <f>'Структура пр 2'!Q55</f>
        <v>816296</v>
      </c>
      <c r="T47" s="83">
        <f>'Структура пр 2'!AF55</f>
        <v>1016199</v>
      </c>
      <c r="U47" s="83">
        <f>'Структура пр 2'!AU55</f>
        <v>1084138</v>
      </c>
      <c r="V47" s="33">
        <f t="shared" si="16"/>
        <v>3825344</v>
      </c>
      <c r="W47" s="83">
        <f>'Структура пр 2'!E55</f>
        <v>0</v>
      </c>
      <c r="X47" s="83">
        <f>'Структура пр 2'!T55</f>
        <v>0</v>
      </c>
      <c r="Y47" s="40">
        <f>'Структура пр 2'!AI55</f>
        <v>0</v>
      </c>
      <c r="Z47" s="83">
        <f>'Структура пр 2'!AX55</f>
        <v>0</v>
      </c>
      <c r="AA47" s="33">
        <f t="shared" si="17"/>
        <v>0</v>
      </c>
      <c r="AB47" s="83">
        <f>'Структура пр 2'!H55</f>
        <v>0</v>
      </c>
      <c r="AC47" s="83">
        <f>'Структура пр 2'!I55</f>
        <v>0</v>
      </c>
      <c r="AD47" s="83">
        <f>'Структура пр 2'!W55</f>
        <v>0</v>
      </c>
      <c r="AE47" s="83">
        <f>'Структура пр 2'!X55</f>
        <v>0</v>
      </c>
      <c r="AF47" s="83">
        <f>'Структура пр 2'!AL55</f>
        <v>0</v>
      </c>
      <c r="AG47" s="83">
        <f>'Структура пр 2'!AM55</f>
        <v>0</v>
      </c>
      <c r="AH47" s="83">
        <f>'Структура пр 2'!AL55</f>
        <v>0</v>
      </c>
      <c r="AI47" s="83">
        <f>'Структура пр 2'!AM55</f>
        <v>0</v>
      </c>
      <c r="AJ47" s="33">
        <f t="shared" si="18"/>
        <v>0</v>
      </c>
      <c r="AK47" s="33">
        <f>'Структура пр 2'!BB60</f>
        <v>0</v>
      </c>
      <c r="AL47" s="83">
        <f>'Структура пр 2'!M55</f>
        <v>0</v>
      </c>
      <c r="AM47" s="83">
        <f>'Структура пр 2'!AB55</f>
        <v>0</v>
      </c>
      <c r="AN47" s="83">
        <f>'Структура пр 2'!AQ55</f>
        <v>0</v>
      </c>
      <c r="AO47" s="83">
        <f>'Структура пр 2'!BF55</f>
        <v>0</v>
      </c>
      <c r="AP47" s="33">
        <f t="shared" si="19"/>
        <v>0</v>
      </c>
      <c r="AQ47" s="44">
        <f t="shared" si="20"/>
        <v>111.77145299999999</v>
      </c>
      <c r="AR47" s="44">
        <f t="shared" si="20"/>
        <v>100.404408</v>
      </c>
      <c r="AS47" s="44">
        <f t="shared" si="20"/>
        <v>124.99247699999999</v>
      </c>
      <c r="AT47" s="44">
        <f t="shared" si="20"/>
        <v>133.348974</v>
      </c>
      <c r="AU47" s="47">
        <f t="shared" si="20"/>
        <v>470.517312</v>
      </c>
      <c r="AV47" s="44">
        <f t="shared" si="21"/>
        <v>0</v>
      </c>
      <c r="AW47" s="44">
        <f t="shared" si="21"/>
        <v>0</v>
      </c>
      <c r="AX47" s="44">
        <f t="shared" si="21"/>
        <v>0</v>
      </c>
      <c r="AY47" s="44">
        <f t="shared" si="21"/>
        <v>0</v>
      </c>
      <c r="AZ47" s="47">
        <f t="shared" si="21"/>
        <v>0</v>
      </c>
      <c r="BA47" s="44">
        <f t="shared" si="22"/>
        <v>111.77145299999999</v>
      </c>
      <c r="BB47" s="44">
        <f t="shared" si="22"/>
        <v>100.404408</v>
      </c>
      <c r="BC47" s="44">
        <f t="shared" si="22"/>
        <v>124.99247699999999</v>
      </c>
      <c r="BD47" s="44">
        <f t="shared" si="22"/>
        <v>133.348974</v>
      </c>
      <c r="BE47" s="47">
        <f t="shared" si="22"/>
        <v>470.517312</v>
      </c>
      <c r="BF47" s="99" t="s">
        <v>96</v>
      </c>
      <c r="BG47" s="101"/>
    </row>
    <row r="48" spans="1:59" ht="51" customHeight="1">
      <c r="A48" s="99" t="s">
        <v>97</v>
      </c>
      <c r="B48" s="101"/>
      <c r="C48" s="99">
        <f t="shared" si="23"/>
        <v>97365</v>
      </c>
      <c r="D48" s="101"/>
      <c r="E48" s="21"/>
      <c r="F48" s="21">
        <f>AA48</f>
        <v>5.1840000000000002</v>
      </c>
      <c r="G48" s="1"/>
      <c r="H48" s="84"/>
      <c r="I48" s="1"/>
      <c r="J48" s="1"/>
      <c r="K48" s="1"/>
      <c r="L48" s="22"/>
      <c r="M48" s="1"/>
      <c r="N48" s="1"/>
      <c r="O48" s="21"/>
      <c r="P48" s="1"/>
      <c r="R48" s="83">
        <f>'Структура пр 2'!B56</f>
        <v>23129</v>
      </c>
      <c r="S48" s="83">
        <f>'Структура пр 2'!Q56</f>
        <v>20777</v>
      </c>
      <c r="T48" s="83">
        <f>'Структура пр 2'!AF56</f>
        <v>25865</v>
      </c>
      <c r="U48" s="83">
        <f>'Структура пр 2'!AU56</f>
        <v>27594</v>
      </c>
      <c r="V48" s="33">
        <f t="shared" si="16"/>
        <v>97365</v>
      </c>
      <c r="W48" s="83">
        <f>'Структура пр 2'!E56</f>
        <v>1.296</v>
      </c>
      <c r="X48" s="83">
        <f>'Структура пр 2'!T56</f>
        <v>1.296</v>
      </c>
      <c r="Y48" s="83">
        <f>'Структура пр 2'!AI56</f>
        <v>1.296</v>
      </c>
      <c r="Z48" s="83">
        <f>'Структура пр 2'!AX56</f>
        <v>1.296</v>
      </c>
      <c r="AA48" s="33">
        <f t="shared" si="17"/>
        <v>5.1840000000000002</v>
      </c>
      <c r="AB48" s="83">
        <f>'Структура пр 2'!H56</f>
        <v>0</v>
      </c>
      <c r="AC48" s="83">
        <f>'Структура пр 2'!I56</f>
        <v>0</v>
      </c>
      <c r="AD48" s="83">
        <f>'Структура пр 2'!W56</f>
        <v>0</v>
      </c>
      <c r="AE48" s="83">
        <f>'Структура пр 2'!X56</f>
        <v>0</v>
      </c>
      <c r="AF48" s="83">
        <f>'Структура пр 2'!AL56</f>
        <v>0</v>
      </c>
      <c r="AG48" s="83">
        <f>'Структура пр 2'!AM56</f>
        <v>0</v>
      </c>
      <c r="AH48" s="83">
        <f>'Структура пр 2'!AL56</f>
        <v>0</v>
      </c>
      <c r="AI48" s="83">
        <f>'Структура пр 2'!AM56</f>
        <v>0</v>
      </c>
      <c r="AJ48" s="33">
        <f t="shared" si="18"/>
        <v>0</v>
      </c>
      <c r="AK48" s="33">
        <f>'Структура пр 2'!BB61</f>
        <v>0</v>
      </c>
      <c r="AL48" s="83">
        <f>'Структура пр 2'!M56</f>
        <v>1238</v>
      </c>
      <c r="AM48" s="83">
        <f>'Структура пр 2'!AB56</f>
        <v>1849</v>
      </c>
      <c r="AN48" s="83">
        <f>'Структура пр 2'!AQ56</f>
        <v>1827</v>
      </c>
      <c r="AO48" s="83">
        <f>'Структура пр 2'!BF56</f>
        <v>2092</v>
      </c>
      <c r="AP48" s="33">
        <f t="shared" si="19"/>
        <v>7006</v>
      </c>
      <c r="AQ48" s="44">
        <f t="shared" si="20"/>
        <v>2.8448670000000003</v>
      </c>
      <c r="AR48" s="44">
        <f t="shared" si="20"/>
        <v>2.555571</v>
      </c>
      <c r="AS48" s="44">
        <f t="shared" si="20"/>
        <v>3.1813949999999998</v>
      </c>
      <c r="AT48" s="44">
        <f t="shared" si="20"/>
        <v>3.3940619999999999</v>
      </c>
      <c r="AU48" s="47">
        <f t="shared" si="20"/>
        <v>11.975895</v>
      </c>
      <c r="AV48" s="44">
        <f t="shared" si="21"/>
        <v>1.50336</v>
      </c>
      <c r="AW48" s="44">
        <f t="shared" si="21"/>
        <v>1.50336</v>
      </c>
      <c r="AX48" s="44">
        <f t="shared" si="21"/>
        <v>1.50336</v>
      </c>
      <c r="AY48" s="44">
        <f t="shared" si="21"/>
        <v>1.50336</v>
      </c>
      <c r="AZ48" s="47">
        <f t="shared" si="21"/>
        <v>6.0134400000000001</v>
      </c>
      <c r="BA48" s="44">
        <f t="shared" si="22"/>
        <v>4.3482270000000005</v>
      </c>
      <c r="BB48" s="44">
        <f t="shared" si="22"/>
        <v>4.0589310000000003</v>
      </c>
      <c r="BC48" s="44">
        <f t="shared" si="22"/>
        <v>4.684755</v>
      </c>
      <c r="BD48" s="44">
        <f t="shared" si="22"/>
        <v>4.8974219999999997</v>
      </c>
      <c r="BE48" s="47">
        <f t="shared" si="22"/>
        <v>17.989335000000001</v>
      </c>
      <c r="BF48" s="99" t="s">
        <v>97</v>
      </c>
      <c r="BG48" s="101"/>
    </row>
    <row r="49" spans="1:59" ht="64.2" customHeight="1">
      <c r="A49" s="99" t="s">
        <v>98</v>
      </c>
      <c r="B49" s="101"/>
      <c r="C49" s="99">
        <f t="shared" si="23"/>
        <v>896013</v>
      </c>
      <c r="D49" s="101"/>
      <c r="E49" s="21"/>
      <c r="F49" s="21"/>
      <c r="G49" s="1"/>
      <c r="H49" s="84"/>
      <c r="I49" s="1"/>
      <c r="J49" s="1"/>
      <c r="K49" s="1"/>
      <c r="L49" s="22"/>
      <c r="M49" s="1"/>
      <c r="N49" s="1"/>
      <c r="O49" s="21"/>
      <c r="P49" s="1"/>
      <c r="R49" s="83">
        <f>'Структура пр 2'!B57</f>
        <v>212848</v>
      </c>
      <c r="S49" s="83">
        <f>'Структура пр 2'!Q57</f>
        <v>191202</v>
      </c>
      <c r="T49" s="83">
        <f>'Структура пр 2'!AF57</f>
        <v>238025</v>
      </c>
      <c r="U49" s="83">
        <f>'Структура пр 2'!AU57</f>
        <v>253938</v>
      </c>
      <c r="V49" s="33">
        <f t="shared" si="16"/>
        <v>896013</v>
      </c>
      <c r="W49" s="83">
        <f>'Структура пр 2'!E57</f>
        <v>0</v>
      </c>
      <c r="X49" s="83">
        <f>'Структура пр 2'!T57</f>
        <v>0</v>
      </c>
      <c r="Y49" s="83">
        <f>'Структура пр 2'!AI57</f>
        <v>0</v>
      </c>
      <c r="Z49" s="83">
        <f>'Структура пр 2'!AX57</f>
        <v>0</v>
      </c>
      <c r="AA49" s="33">
        <f t="shared" si="17"/>
        <v>0</v>
      </c>
      <c r="AB49" s="83">
        <f>'Структура пр 2'!H57</f>
        <v>0</v>
      </c>
      <c r="AC49" s="83">
        <f>'Структура пр 2'!I57</f>
        <v>0</v>
      </c>
      <c r="AD49" s="83">
        <f>'Структура пр 2'!W57</f>
        <v>0</v>
      </c>
      <c r="AE49" s="83">
        <f>'Структура пр 2'!X57</f>
        <v>0</v>
      </c>
      <c r="AF49" s="83">
        <f>'Структура пр 2'!AL57</f>
        <v>0</v>
      </c>
      <c r="AG49" s="83">
        <f>'Структура пр 2'!AM57</f>
        <v>0</v>
      </c>
      <c r="AH49" s="83">
        <f>'Структура пр 2'!AL57</f>
        <v>0</v>
      </c>
      <c r="AI49" s="83">
        <f>'Структура пр 2'!AM57</f>
        <v>0</v>
      </c>
      <c r="AJ49" s="33">
        <f t="shared" si="18"/>
        <v>0</v>
      </c>
      <c r="AK49" s="33">
        <f>'Структура пр 2'!BB62</f>
        <v>0</v>
      </c>
      <c r="AL49" s="83">
        <f>'Структура пр 2'!M57</f>
        <v>0</v>
      </c>
      <c r="AM49" s="83">
        <f>'Структура пр 2'!AB57</f>
        <v>0</v>
      </c>
      <c r="AN49" s="83">
        <f>'Структура пр 2'!AQ57</f>
        <v>0</v>
      </c>
      <c r="AO49" s="83">
        <f>'Структура пр 2'!BF57</f>
        <v>0</v>
      </c>
      <c r="AP49" s="33">
        <f t="shared" si="19"/>
        <v>0</v>
      </c>
      <c r="AQ49" s="44">
        <f t="shared" si="20"/>
        <v>26.180304</v>
      </c>
      <c r="AR49" s="44">
        <f t="shared" si="20"/>
        <v>23.517845999999999</v>
      </c>
      <c r="AS49" s="44">
        <f t="shared" si="20"/>
        <v>29.277075</v>
      </c>
      <c r="AT49" s="44">
        <f t="shared" si="20"/>
        <v>31.234373999999999</v>
      </c>
      <c r="AU49" s="47">
        <f t="shared" si="20"/>
        <v>110.209599</v>
      </c>
      <c r="AV49" s="44">
        <f t="shared" si="21"/>
        <v>0</v>
      </c>
      <c r="AW49" s="44">
        <f t="shared" si="21"/>
        <v>0</v>
      </c>
      <c r="AX49" s="44">
        <f t="shared" si="21"/>
        <v>0</v>
      </c>
      <c r="AY49" s="44">
        <f t="shared" si="21"/>
        <v>0</v>
      </c>
      <c r="AZ49" s="47">
        <f t="shared" si="21"/>
        <v>0</v>
      </c>
      <c r="BA49" s="44">
        <f t="shared" si="22"/>
        <v>26.180304</v>
      </c>
      <c r="BB49" s="44">
        <f t="shared" si="22"/>
        <v>23.517845999999999</v>
      </c>
      <c r="BC49" s="44">
        <f t="shared" si="22"/>
        <v>29.277075</v>
      </c>
      <c r="BD49" s="44">
        <f t="shared" si="22"/>
        <v>31.234373999999999</v>
      </c>
      <c r="BE49" s="47">
        <f t="shared" si="22"/>
        <v>110.209599</v>
      </c>
      <c r="BF49" s="99" t="s">
        <v>98</v>
      </c>
      <c r="BG49" s="101"/>
    </row>
    <row r="50" spans="1:59" ht="46.95" customHeight="1">
      <c r="A50" s="99" t="s">
        <v>99</v>
      </c>
      <c r="B50" s="101"/>
      <c r="C50" s="99">
        <f t="shared" si="23"/>
        <v>49526</v>
      </c>
      <c r="D50" s="101"/>
      <c r="E50" s="21"/>
      <c r="F50" s="21">
        <f>AA50</f>
        <v>33.575000000000003</v>
      </c>
      <c r="G50" s="1"/>
      <c r="H50" s="84"/>
      <c r="I50" s="1"/>
      <c r="J50" s="1"/>
      <c r="K50" s="1"/>
      <c r="L50" s="22"/>
      <c r="M50" s="1"/>
      <c r="N50" s="1"/>
      <c r="O50" s="21"/>
      <c r="P50" s="1"/>
      <c r="R50" s="83">
        <f>'Структура пр 2'!B58</f>
        <v>11765</v>
      </c>
      <c r="S50" s="83">
        <f>'Структура пр 2'!Q58</f>
        <v>10568</v>
      </c>
      <c r="T50" s="83">
        <f>'Структура пр 2'!AF58</f>
        <v>13157</v>
      </c>
      <c r="U50" s="83">
        <f>'Структура пр 2'!AU58</f>
        <v>14036</v>
      </c>
      <c r="V50" s="33">
        <f t="shared" si="16"/>
        <v>49526</v>
      </c>
      <c r="W50" s="83">
        <f>'Структура пр 2'!E58</f>
        <v>20.782</v>
      </c>
      <c r="X50" s="83">
        <f>'Структура пр 2'!T58</f>
        <v>1.4119999999999999</v>
      </c>
      <c r="Y50" s="83">
        <f>'Структура пр 2'!AI58</f>
        <v>0.875</v>
      </c>
      <c r="Z50" s="83">
        <f>'Структура пр 2'!AX58</f>
        <v>10.506</v>
      </c>
      <c r="AA50" s="33">
        <f t="shared" si="17"/>
        <v>33.575000000000003</v>
      </c>
      <c r="AB50" s="83">
        <f>'Структура пр 2'!H58</f>
        <v>0</v>
      </c>
      <c r="AC50" s="83">
        <f>'Структура пр 2'!I58</f>
        <v>0</v>
      </c>
      <c r="AD50" s="83">
        <f>'Структура пр 2'!W58</f>
        <v>0</v>
      </c>
      <c r="AE50" s="83">
        <f>'Структура пр 2'!X58</f>
        <v>0</v>
      </c>
      <c r="AF50" s="83">
        <f>'Структура пр 2'!AL58</f>
        <v>0</v>
      </c>
      <c r="AG50" s="83">
        <f>'Структура пр 2'!AM58</f>
        <v>0</v>
      </c>
      <c r="AH50" s="83">
        <f>'Структура пр 2'!AL58</f>
        <v>0</v>
      </c>
      <c r="AI50" s="83">
        <f>'Структура пр 2'!AM58</f>
        <v>0</v>
      </c>
      <c r="AJ50" s="33">
        <f t="shared" si="18"/>
        <v>0</v>
      </c>
      <c r="AK50" s="33">
        <f>'Структура пр 2'!BB63</f>
        <v>0</v>
      </c>
      <c r="AL50" s="83">
        <f>'Структура пр 2'!M58</f>
        <v>0</v>
      </c>
      <c r="AM50" s="83">
        <f>'Структура пр 2'!AB58</f>
        <v>0</v>
      </c>
      <c r="AN50" s="83">
        <f>'Структура пр 2'!AQ58</f>
        <v>0</v>
      </c>
      <c r="AO50" s="83">
        <f>'Структура пр 2'!BF58</f>
        <v>0</v>
      </c>
      <c r="AP50" s="33">
        <f t="shared" si="19"/>
        <v>0</v>
      </c>
      <c r="AQ50" s="44">
        <f t="shared" si="20"/>
        <v>1.447095</v>
      </c>
      <c r="AR50" s="44">
        <f t="shared" si="20"/>
        <v>1.2998639999999999</v>
      </c>
      <c r="AS50" s="44">
        <f t="shared" si="20"/>
        <v>1.6183110000000001</v>
      </c>
      <c r="AT50" s="44">
        <f t="shared" si="20"/>
        <v>1.7264279999999999</v>
      </c>
      <c r="AU50" s="47">
        <f t="shared" si="20"/>
        <v>6.0916980000000001</v>
      </c>
      <c r="AV50" s="44">
        <f t="shared" si="21"/>
        <v>24.107119999999998</v>
      </c>
      <c r="AW50" s="44">
        <f t="shared" si="21"/>
        <v>1.6379199999999998</v>
      </c>
      <c r="AX50" s="44">
        <f t="shared" si="21"/>
        <v>1.0149999999999999</v>
      </c>
      <c r="AY50" s="44">
        <f t="shared" si="21"/>
        <v>12.186959999999999</v>
      </c>
      <c r="AZ50" s="47">
        <f t="shared" si="21"/>
        <v>38.947000000000003</v>
      </c>
      <c r="BA50" s="44">
        <f t="shared" si="22"/>
        <v>25.554214999999999</v>
      </c>
      <c r="BB50" s="44">
        <f t="shared" si="22"/>
        <v>2.9377839999999997</v>
      </c>
      <c r="BC50" s="44">
        <f t="shared" si="22"/>
        <v>2.633311</v>
      </c>
      <c r="BD50" s="44">
        <f t="shared" si="22"/>
        <v>13.913387999999999</v>
      </c>
      <c r="BE50" s="47">
        <f t="shared" si="22"/>
        <v>45.038698000000004</v>
      </c>
      <c r="BF50" s="99" t="s">
        <v>99</v>
      </c>
      <c r="BG50" s="101"/>
    </row>
    <row r="51" spans="1:59" ht="87" customHeight="1" thickBot="1">
      <c r="A51" s="99" t="s">
        <v>58</v>
      </c>
      <c r="B51" s="101"/>
      <c r="C51" s="99">
        <f t="shared" si="23"/>
        <v>4721357</v>
      </c>
      <c r="D51" s="101"/>
      <c r="E51" s="21"/>
      <c r="F51" s="21"/>
      <c r="G51" s="1"/>
      <c r="H51" s="84"/>
      <c r="I51" s="1"/>
      <c r="J51" s="1"/>
      <c r="K51" s="1"/>
      <c r="L51" s="22"/>
      <c r="M51" s="1"/>
      <c r="N51" s="1"/>
      <c r="O51" s="21"/>
      <c r="P51" s="1"/>
      <c r="R51" s="83">
        <f>'Структура пр 2'!B59</f>
        <v>1121559</v>
      </c>
      <c r="S51" s="83">
        <f>'Структура пр 2'!Q59</f>
        <v>1007498</v>
      </c>
      <c r="T51" s="83">
        <f>'Структура пр 2'!AF59</f>
        <v>1254224</v>
      </c>
      <c r="U51" s="83">
        <f>'Структура пр 2'!AU59</f>
        <v>1338076</v>
      </c>
      <c r="V51" s="33">
        <f t="shared" si="16"/>
        <v>4721357</v>
      </c>
      <c r="W51" s="83">
        <f>W47+W49</f>
        <v>0</v>
      </c>
      <c r="X51" s="83">
        <f>X47+X49</f>
        <v>0</v>
      </c>
      <c r="Y51" s="40">
        <f>Y47+Y49</f>
        <v>0</v>
      </c>
      <c r="Z51" s="83">
        <f>Z47+Z49</f>
        <v>0</v>
      </c>
      <c r="AA51" s="33">
        <f t="shared" si="17"/>
        <v>0</v>
      </c>
      <c r="AB51" s="83">
        <f>'Структура пр 2'!H59</f>
        <v>0</v>
      </c>
      <c r="AC51" s="83">
        <f>'Структура пр 2'!I59</f>
        <v>0</v>
      </c>
      <c r="AD51" s="83">
        <f>'Структура пр 2'!W59</f>
        <v>0</v>
      </c>
      <c r="AE51" s="83">
        <f>'Структура пр 2'!X59</f>
        <v>0</v>
      </c>
      <c r="AF51" s="83">
        <f>'Структура пр 2'!AL59</f>
        <v>0</v>
      </c>
      <c r="AG51" s="83">
        <f>'Структура пр 2'!AM59</f>
        <v>0</v>
      </c>
      <c r="AH51" s="83">
        <f>'Структура пр 2'!AL59</f>
        <v>0</v>
      </c>
      <c r="AI51" s="83">
        <f>'Структура пр 2'!AM59</f>
        <v>0</v>
      </c>
      <c r="AJ51" s="33">
        <f t="shared" si="18"/>
        <v>0</v>
      </c>
      <c r="AK51" s="33">
        <f>'Структура пр 2'!BB64</f>
        <v>0</v>
      </c>
      <c r="AL51" s="83">
        <f>'Структура пр 2'!M59</f>
        <v>0</v>
      </c>
      <c r="AM51" s="83">
        <f>'Структура пр 2'!AB59</f>
        <v>0</v>
      </c>
      <c r="AN51" s="83">
        <f>'Структура пр 2'!AQ59</f>
        <v>0</v>
      </c>
      <c r="AO51" s="83">
        <f>'Структура пр 2'!BF59</f>
        <v>0</v>
      </c>
      <c r="AP51" s="33">
        <f t="shared" si="19"/>
        <v>0</v>
      </c>
      <c r="AQ51" s="44">
        <f t="shared" si="20"/>
        <v>137.95175699999999</v>
      </c>
      <c r="AR51" s="44">
        <f t="shared" si="20"/>
        <v>123.92225400000001</v>
      </c>
      <c r="AS51" s="44">
        <f t="shared" si="20"/>
        <v>154.26955199999998</v>
      </c>
      <c r="AT51" s="44">
        <f t="shared" si="20"/>
        <v>164.583348</v>
      </c>
      <c r="AU51" s="47">
        <f t="shared" si="20"/>
        <v>580.72691099999997</v>
      </c>
      <c r="AV51" s="44">
        <f t="shared" si="21"/>
        <v>0</v>
      </c>
      <c r="AW51" s="44">
        <f t="shared" si="21"/>
        <v>0</v>
      </c>
      <c r="AX51" s="44">
        <f t="shared" si="21"/>
        <v>0</v>
      </c>
      <c r="AY51" s="44">
        <f t="shared" si="21"/>
        <v>0</v>
      </c>
      <c r="AZ51" s="47">
        <f t="shared" si="21"/>
        <v>0</v>
      </c>
      <c r="BA51" s="44">
        <f t="shared" si="22"/>
        <v>137.95175699999999</v>
      </c>
      <c r="BB51" s="44">
        <f t="shared" si="22"/>
        <v>123.92225400000001</v>
      </c>
      <c r="BC51" s="44">
        <f t="shared" si="22"/>
        <v>154.26955199999998</v>
      </c>
      <c r="BD51" s="44">
        <f t="shared" si="22"/>
        <v>164.583348</v>
      </c>
      <c r="BE51" s="47">
        <f t="shared" si="22"/>
        <v>580.72691099999997</v>
      </c>
      <c r="BF51" s="99" t="s">
        <v>58</v>
      </c>
      <c r="BG51" s="101"/>
    </row>
    <row r="52" spans="1:59" ht="111" customHeight="1" thickBot="1">
      <c r="A52" s="99" t="s">
        <v>239</v>
      </c>
      <c r="B52" s="101"/>
      <c r="C52" s="99">
        <f>V52</f>
        <v>5781489</v>
      </c>
      <c r="D52" s="101"/>
      <c r="E52" s="21"/>
      <c r="F52" s="21"/>
      <c r="G52" s="1"/>
      <c r="H52" s="84"/>
      <c r="I52" s="1"/>
      <c r="J52" s="1"/>
      <c r="K52" s="1"/>
      <c r="L52" s="22"/>
      <c r="M52" s="1"/>
      <c r="N52" s="1"/>
      <c r="O52" s="21"/>
      <c r="P52" s="1"/>
      <c r="R52" s="83">
        <f>'Структура пр 2'!B61+'Структура пр 2'!B62+'Структура пр 2'!B63+'Структура пр 2'!B64+'Структура пр 2'!B65</f>
        <v>1507040</v>
      </c>
      <c r="S52" s="83">
        <f>'Структура пр 2'!Q61+'Структура пр 2'!Q62+'Структура пр 2'!Q63+'Структура пр 2'!Q64+'Структура пр 2'!Q65</f>
        <v>1083987</v>
      </c>
      <c r="T52" s="83">
        <f>'Структура пр 2'!AF61+'Структура пр 2'!AF62+'Структура пр 2'!AF63+'Структура пр 2'!AF64+'Структура пр 2'!AF65</f>
        <v>1606257</v>
      </c>
      <c r="U52" s="83">
        <f>'Структура пр 2'!AU61+'Структура пр 2'!AU62+'Структура пр 2'!AU63+'Структура пр 2'!AU64+'Структура пр 2'!AU65</f>
        <v>1584205</v>
      </c>
      <c r="V52" s="33">
        <f t="shared" si="16"/>
        <v>5781489</v>
      </c>
      <c r="W52" s="83"/>
      <c r="X52" s="83"/>
      <c r="Y52" s="83"/>
      <c r="Z52" s="83"/>
      <c r="AA52" s="33">
        <f t="shared" si="17"/>
        <v>0</v>
      </c>
      <c r="AB52" s="83"/>
      <c r="AC52" s="83"/>
      <c r="AD52" s="83"/>
      <c r="AE52" s="83"/>
      <c r="AF52" s="83"/>
      <c r="AG52" s="83"/>
      <c r="AH52" s="83"/>
      <c r="AI52" s="83"/>
      <c r="AJ52" s="33">
        <f t="shared" si="18"/>
        <v>0</v>
      </c>
      <c r="AK52" s="33">
        <f>'Структура пр 2'!BB65</f>
        <v>0</v>
      </c>
      <c r="AL52" s="83"/>
      <c r="AM52" s="83"/>
      <c r="AN52" s="83"/>
      <c r="AO52" s="83"/>
      <c r="AP52" s="33">
        <f t="shared" si="19"/>
        <v>0</v>
      </c>
      <c r="AQ52" s="81"/>
      <c r="AR52" s="81"/>
      <c r="AS52" s="81"/>
      <c r="AT52" s="81"/>
      <c r="AU52" s="46">
        <f>V52/1000*0.123</f>
        <v>711.1231469999999</v>
      </c>
      <c r="AV52" s="42"/>
      <c r="AW52" s="42"/>
      <c r="AX52" s="42"/>
      <c r="AY52" s="42"/>
      <c r="AZ52" s="46">
        <f>AA52*1.16</f>
        <v>0</v>
      </c>
      <c r="BA52" s="81"/>
      <c r="BB52" s="81"/>
      <c r="BC52" s="81"/>
      <c r="BD52" s="81"/>
      <c r="BE52" s="46">
        <f>AU52+AZ52</f>
        <v>711.1231469999999</v>
      </c>
    </row>
    <row r="57" spans="1:59">
      <c r="R57" s="24"/>
      <c r="S57" s="25" t="s">
        <v>102</v>
      </c>
      <c r="T57" s="25" t="s">
        <v>103</v>
      </c>
      <c r="U57" s="34" t="s">
        <v>104</v>
      </c>
      <c r="AB57" s="41"/>
    </row>
    <row r="58" spans="1:59">
      <c r="R58" s="26" t="s">
        <v>85</v>
      </c>
      <c r="S58" s="27">
        <f>W44</f>
        <v>0</v>
      </c>
      <c r="T58" s="27">
        <v>1.1599999999999999</v>
      </c>
      <c r="U58" s="35">
        <f>T58*S58</f>
        <v>0</v>
      </c>
      <c r="AB58" s="41"/>
    </row>
    <row r="59" spans="1:59">
      <c r="R59" s="26"/>
      <c r="S59" s="27">
        <f>X44</f>
        <v>0</v>
      </c>
      <c r="T59" s="27">
        <v>1.1599999999999999</v>
      </c>
      <c r="U59" s="35">
        <f>T59*S59</f>
        <v>0</v>
      </c>
      <c r="AB59" s="41"/>
    </row>
    <row r="60" spans="1:59">
      <c r="R60" s="26"/>
      <c r="S60" s="27">
        <f>Y44</f>
        <v>0</v>
      </c>
      <c r="T60" s="27">
        <v>1.1599999999999999</v>
      </c>
      <c r="U60" s="35">
        <f>T60*S60</f>
        <v>0</v>
      </c>
      <c r="AB60" s="41"/>
    </row>
    <row r="61" spans="1:59">
      <c r="R61" s="26"/>
      <c r="S61" s="27">
        <f>Z44</f>
        <v>0</v>
      </c>
      <c r="T61" s="27">
        <v>1.1599999999999999</v>
      </c>
      <c r="U61" s="35">
        <f>T61*S61</f>
        <v>0</v>
      </c>
      <c r="AB61" s="41"/>
    </row>
    <row r="62" spans="1:59">
      <c r="R62" s="28"/>
      <c r="S62" s="29">
        <f>SUM(S58:S61)</f>
        <v>0</v>
      </c>
      <c r="T62" s="29">
        <v>1.1599999999999999</v>
      </c>
      <c r="U62" s="36">
        <f>T62*S62</f>
        <v>0</v>
      </c>
      <c r="AB62" s="41"/>
    </row>
    <row r="63" spans="1:59">
      <c r="R63" s="24"/>
      <c r="S63" s="25" t="s">
        <v>102</v>
      </c>
      <c r="T63" s="25" t="s">
        <v>103</v>
      </c>
      <c r="U63" s="34" t="s">
        <v>104</v>
      </c>
      <c r="V63" s="24"/>
      <c r="W63" s="34"/>
    </row>
    <row r="64" spans="1:59">
      <c r="R64" s="30" t="s">
        <v>105</v>
      </c>
      <c r="S64" s="27">
        <v>420</v>
      </c>
      <c r="T64" s="31">
        <v>0.123</v>
      </c>
      <c r="U64" s="37">
        <f>T64*S64</f>
        <v>51.66</v>
      </c>
      <c r="V64" s="38" t="s">
        <v>106</v>
      </c>
      <c r="W64" s="39">
        <f>U58+U64</f>
        <v>51.66</v>
      </c>
    </row>
    <row r="65" spans="18:23">
      <c r="R65" s="30"/>
      <c r="S65" s="27">
        <v>420</v>
      </c>
      <c r="T65" s="31">
        <v>0.123</v>
      </c>
      <c r="U65" s="37">
        <f>T65*S65</f>
        <v>51.66</v>
      </c>
      <c r="V65" s="38"/>
      <c r="W65" s="39">
        <f>U59+U65</f>
        <v>51.66</v>
      </c>
    </row>
    <row r="66" spans="18:23">
      <c r="R66" s="30"/>
      <c r="S66" s="27">
        <v>420</v>
      </c>
      <c r="T66" s="31">
        <v>0.123</v>
      </c>
      <c r="U66" s="37">
        <f>T66*S66</f>
        <v>51.66</v>
      </c>
      <c r="V66" s="38"/>
      <c r="W66" s="39">
        <f>U60+U66</f>
        <v>51.66</v>
      </c>
    </row>
    <row r="67" spans="18:23">
      <c r="R67" s="30"/>
      <c r="S67" s="27">
        <v>420</v>
      </c>
      <c r="T67" s="31">
        <v>0.123</v>
      </c>
      <c r="U67" s="37">
        <f>T67*S67</f>
        <v>51.66</v>
      </c>
      <c r="V67" s="38"/>
      <c r="W67" s="39">
        <f>U61+U67</f>
        <v>51.66</v>
      </c>
    </row>
    <row r="68" spans="18:23">
      <c r="R68" s="48"/>
      <c r="S68" s="29">
        <f>SUM(S64:S67)</f>
        <v>1680</v>
      </c>
      <c r="T68" s="49">
        <v>0.123</v>
      </c>
      <c r="U68" s="52">
        <f>T68*S68</f>
        <v>206.64</v>
      </c>
      <c r="V68" s="53"/>
      <c r="W68" s="54">
        <f>U62+U68</f>
        <v>206.64</v>
      </c>
    </row>
    <row r="71" spans="18:23">
      <c r="R71" s="50"/>
      <c r="S71" s="50"/>
      <c r="T71" s="50"/>
      <c r="U71" s="50"/>
      <c r="V71" s="50"/>
      <c r="W71" s="78"/>
    </row>
    <row r="72" spans="18:23" ht="15.6" customHeight="1">
      <c r="R72" s="119" t="s">
        <v>107</v>
      </c>
      <c r="S72" s="94"/>
      <c r="T72" s="94"/>
      <c r="U72" s="94"/>
      <c r="V72" s="91"/>
      <c r="W72" s="78"/>
    </row>
    <row r="73" spans="18:23">
      <c r="R73" s="51" t="s">
        <v>108</v>
      </c>
      <c r="S73" s="51" t="s">
        <v>109</v>
      </c>
      <c r="T73" s="51" t="s">
        <v>110</v>
      </c>
      <c r="U73" s="51" t="s">
        <v>111</v>
      </c>
      <c r="V73" s="51" t="s">
        <v>94</v>
      </c>
      <c r="W73" s="58"/>
    </row>
    <row r="74" spans="18:23">
      <c r="R74" s="50"/>
      <c r="S74" s="50"/>
      <c r="T74" s="50"/>
      <c r="U74" s="50"/>
      <c r="V74" s="78">
        <f>'Расход  на ед.п'!T16</f>
        <v>0.66860465116279078</v>
      </c>
      <c r="W74" s="50">
        <v>2022</v>
      </c>
    </row>
    <row r="75" spans="18:23">
      <c r="R75" s="50"/>
      <c r="S75" s="50"/>
      <c r="T75" s="50"/>
      <c r="U75" s="50"/>
      <c r="V75" s="78">
        <f>'Расход  на ед.п'!T17</f>
        <v>0.76627906976744187</v>
      </c>
      <c r="W75" s="50">
        <v>2023</v>
      </c>
    </row>
    <row r="76" spans="18:23">
      <c r="R76" s="50"/>
      <c r="S76" s="50"/>
      <c r="T76" s="50"/>
      <c r="U76" s="50"/>
      <c r="V76" s="50">
        <f>'Расход  на ед.п'!T18</f>
        <v>0.94418604651162785</v>
      </c>
      <c r="W76" s="50">
        <v>2024</v>
      </c>
    </row>
  </sheetData>
  <mergeCells count="181">
    <mergeCell ref="A3:B6"/>
    <mergeCell ref="N22:N23"/>
    <mergeCell ref="AJ43:AK43"/>
    <mergeCell ref="A15:B15"/>
    <mergeCell ref="C15:D15"/>
    <mergeCell ref="A51:B51"/>
    <mergeCell ref="O21:O23"/>
    <mergeCell ref="A19:P19"/>
    <mergeCell ref="AQ22:AU22"/>
    <mergeCell ref="G40:G42"/>
    <mergeCell ref="A7:B7"/>
    <mergeCell ref="J4:J5"/>
    <mergeCell ref="C41:C42"/>
    <mergeCell ref="P21:P24"/>
    <mergeCell ref="E3:E5"/>
    <mergeCell ref="C50:D50"/>
    <mergeCell ref="L4:L5"/>
    <mergeCell ref="A27:B27"/>
    <mergeCell ref="A33:B33"/>
    <mergeCell ref="C27:D27"/>
    <mergeCell ref="C14:D14"/>
    <mergeCell ref="C47:D47"/>
    <mergeCell ref="A46:B46"/>
    <mergeCell ref="E21:E23"/>
    <mergeCell ref="J3:N3"/>
    <mergeCell ref="AH24:AI24"/>
    <mergeCell ref="R4:V4"/>
    <mergeCell ref="P40:P43"/>
    <mergeCell ref="BF27:BG27"/>
    <mergeCell ref="J40:N40"/>
    <mergeCell ref="BA22:BE22"/>
    <mergeCell ref="J24:N24"/>
    <mergeCell ref="AF6:AG6"/>
    <mergeCell ref="AL41:AP41"/>
    <mergeCell ref="L22:L23"/>
    <mergeCell ref="O40:O42"/>
    <mergeCell ref="AV41:AZ41"/>
    <mergeCell ref="R72:V72"/>
    <mergeCell ref="G3:G5"/>
    <mergeCell ref="A28:B28"/>
    <mergeCell ref="C28:D28"/>
    <mergeCell ref="BF51:BG51"/>
    <mergeCell ref="BA41:BE41"/>
    <mergeCell ref="A9:B9"/>
    <mergeCell ref="C3:D3"/>
    <mergeCell ref="A39:B39"/>
    <mergeCell ref="AF43:AG43"/>
    <mergeCell ref="A48:B48"/>
    <mergeCell ref="BF26:BG26"/>
    <mergeCell ref="A30:B30"/>
    <mergeCell ref="AL22:AP22"/>
    <mergeCell ref="AV4:AZ4"/>
    <mergeCell ref="C30:D30"/>
    <mergeCell ref="A31:B31"/>
    <mergeCell ref="C4:C5"/>
    <mergeCell ref="A11:B11"/>
    <mergeCell ref="N41:N42"/>
    <mergeCell ref="A45:B45"/>
    <mergeCell ref="AF24:AG24"/>
    <mergeCell ref="BF7:BG7"/>
    <mergeCell ref="C45:D45"/>
    <mergeCell ref="A1:P1"/>
    <mergeCell ref="AB4:AK4"/>
    <mergeCell ref="P3:P6"/>
    <mergeCell ref="BF25:BG25"/>
    <mergeCell ref="M41:M42"/>
    <mergeCell ref="A8:B8"/>
    <mergeCell ref="C8:D8"/>
    <mergeCell ref="BF9:BG9"/>
    <mergeCell ref="AQ4:AU4"/>
    <mergeCell ref="H40:I42"/>
    <mergeCell ref="C31:D31"/>
    <mergeCell ref="A12:B12"/>
    <mergeCell ref="C12:D12"/>
    <mergeCell ref="BF8:BG8"/>
    <mergeCell ref="BF30:BG30"/>
    <mergeCell ref="BF32:BG32"/>
    <mergeCell ref="BF14:BG14"/>
    <mergeCell ref="AQ40:BE40"/>
    <mergeCell ref="BF29:BG29"/>
    <mergeCell ref="AH6:AI6"/>
    <mergeCell ref="AJ6:AK6"/>
    <mergeCell ref="J22:J23"/>
    <mergeCell ref="R22:V22"/>
    <mergeCell ref="BA4:BE4"/>
    <mergeCell ref="BF50:BG50"/>
    <mergeCell ref="A10:B10"/>
    <mergeCell ref="BF11:BG11"/>
    <mergeCell ref="H3:I5"/>
    <mergeCell ref="W4:AA4"/>
    <mergeCell ref="BF31:BG31"/>
    <mergeCell ref="AQ21:BE21"/>
    <mergeCell ref="AB24:AC24"/>
    <mergeCell ref="A49:B49"/>
    <mergeCell ref="H43:I43"/>
    <mergeCell ref="AD24:AE24"/>
    <mergeCell ref="A38:P38"/>
    <mergeCell ref="AV22:AZ22"/>
    <mergeCell ref="AQ41:AU41"/>
    <mergeCell ref="O39:P39"/>
    <mergeCell ref="BF13:BG13"/>
    <mergeCell ref="C22:C23"/>
    <mergeCell ref="C29:D29"/>
    <mergeCell ref="O20:P20"/>
    <mergeCell ref="AH43:AI43"/>
    <mergeCell ref="J6:N6"/>
    <mergeCell ref="D41:D42"/>
    <mergeCell ref="C40:D40"/>
    <mergeCell ref="BF49:BG49"/>
    <mergeCell ref="C49:D49"/>
    <mergeCell ref="A21:B24"/>
    <mergeCell ref="AQ3:BE3"/>
    <mergeCell ref="AB6:AC6"/>
    <mergeCell ref="C33:D33"/>
    <mergeCell ref="R3:AP3"/>
    <mergeCell ref="BF46:BG46"/>
    <mergeCell ref="K41:K42"/>
    <mergeCell ref="BF28:BG28"/>
    <mergeCell ref="C26:D26"/>
    <mergeCell ref="K22:K23"/>
    <mergeCell ref="M22:M23"/>
    <mergeCell ref="BF12:BG12"/>
    <mergeCell ref="A25:B25"/>
    <mergeCell ref="C10:D10"/>
    <mergeCell ref="H6:I6"/>
    <mergeCell ref="D4:D5"/>
    <mergeCell ref="BF48:BG48"/>
    <mergeCell ref="AD6:AE6"/>
    <mergeCell ref="BF45:BG45"/>
    <mergeCell ref="W41:AA41"/>
    <mergeCell ref="BF47:BG47"/>
    <mergeCell ref="BF44:BG44"/>
    <mergeCell ref="F21:F23"/>
    <mergeCell ref="A2:B2"/>
    <mergeCell ref="O3:O5"/>
    <mergeCell ref="AB41:AK41"/>
    <mergeCell ref="C11:D11"/>
    <mergeCell ref="A47:B47"/>
    <mergeCell ref="A40:B43"/>
    <mergeCell ref="AJ24:AK24"/>
    <mergeCell ref="J41:J42"/>
    <mergeCell ref="BF10:BG10"/>
    <mergeCell ref="C46:D46"/>
    <mergeCell ref="G21:G23"/>
    <mergeCell ref="C21:D21"/>
    <mergeCell ref="L41:L42"/>
    <mergeCell ref="K4:K5"/>
    <mergeCell ref="A32:B32"/>
    <mergeCell ref="R41:V41"/>
    <mergeCell ref="A14:B14"/>
    <mergeCell ref="F3:F5"/>
    <mergeCell ref="R40:AP40"/>
    <mergeCell ref="C32:D32"/>
    <mergeCell ref="AB22:AK22"/>
    <mergeCell ref="J43:N43"/>
    <mergeCell ref="N4:N5"/>
    <mergeCell ref="O2:P2"/>
    <mergeCell ref="C52:D52"/>
    <mergeCell ref="A20:B20"/>
    <mergeCell ref="M4:M5"/>
    <mergeCell ref="A29:B29"/>
    <mergeCell ref="J21:N21"/>
    <mergeCell ref="AL4:AP4"/>
    <mergeCell ref="AD43:AE43"/>
    <mergeCell ref="H24:I24"/>
    <mergeCell ref="A13:B13"/>
    <mergeCell ref="A44:B44"/>
    <mergeCell ref="C13:D13"/>
    <mergeCell ref="R21:AP21"/>
    <mergeCell ref="E40:E42"/>
    <mergeCell ref="D22:D23"/>
    <mergeCell ref="C51:D51"/>
    <mergeCell ref="C48:D48"/>
    <mergeCell ref="C9:D9"/>
    <mergeCell ref="A50:B50"/>
    <mergeCell ref="H21:I23"/>
    <mergeCell ref="F40:F42"/>
    <mergeCell ref="AB43:AC43"/>
    <mergeCell ref="A52:B52"/>
    <mergeCell ref="W22:AA22"/>
    <mergeCell ref="A26:B2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5"/>
  <dimension ref="A1:Y48"/>
  <sheetViews>
    <sheetView topLeftCell="A18" zoomScale="77" zoomScaleNormal="77" workbookViewId="0">
      <selection activeCell="M14" sqref="M14"/>
    </sheetView>
  </sheetViews>
  <sheetFormatPr defaultColWidth="9" defaultRowHeight="14.4"/>
  <cols>
    <col min="1" max="1" width="26.33203125" style="80" customWidth="1"/>
    <col min="2" max="2" width="15" style="80" customWidth="1"/>
    <col min="3" max="3" width="13" style="80" customWidth="1"/>
    <col min="4" max="6" width="12.44140625" style="80" customWidth="1"/>
    <col min="7" max="7" width="15.44140625" style="80" customWidth="1"/>
    <col min="8" max="12" width="9" style="80" hidden="1" customWidth="1"/>
    <col min="13" max="13" width="17.88671875" style="80" bestFit="1" customWidth="1"/>
    <col min="14" max="14" width="13.5546875" style="80" customWidth="1"/>
    <col min="15" max="15" width="12.44140625" style="80" customWidth="1"/>
    <col min="16" max="16" width="12.33203125" style="80" customWidth="1"/>
    <col min="17" max="17" width="13.5546875" style="80" customWidth="1"/>
    <col min="18" max="23" width="12.6640625" style="80" customWidth="1"/>
    <col min="25" max="25" width="12.6640625" style="80" customWidth="1"/>
  </cols>
  <sheetData>
    <row r="1" spans="1:17" ht="17.399999999999999" customHeight="1">
      <c r="A1" s="124" t="s">
        <v>112</v>
      </c>
      <c r="B1" s="92"/>
      <c r="C1" s="92"/>
      <c r="D1" s="92"/>
      <c r="E1" s="92"/>
      <c r="F1" s="92"/>
      <c r="G1" s="92"/>
      <c r="H1" s="92"/>
      <c r="I1" s="92"/>
      <c r="J1" s="92"/>
      <c r="K1" s="92"/>
      <c r="L1" s="92"/>
      <c r="M1" s="92"/>
      <c r="N1" s="92"/>
      <c r="O1" s="92"/>
      <c r="P1" s="92"/>
      <c r="Q1" s="92"/>
    </row>
    <row r="2" spans="1:17" ht="15.6" customHeight="1">
      <c r="A2" s="126"/>
      <c r="B2" s="92"/>
      <c r="C2" s="8"/>
      <c r="D2" s="8"/>
      <c r="E2" s="8"/>
      <c r="F2" s="8"/>
      <c r="G2" s="8"/>
      <c r="H2" s="8"/>
      <c r="I2" s="8"/>
      <c r="J2" s="8"/>
      <c r="K2" s="8"/>
      <c r="L2" s="8"/>
      <c r="M2" s="125" t="s">
        <v>113</v>
      </c>
      <c r="N2" s="92"/>
      <c r="O2" s="92"/>
      <c r="P2" s="92"/>
      <c r="Q2" s="92"/>
    </row>
    <row r="3" spans="1:17" ht="31.5" customHeight="1">
      <c r="A3" s="120" t="s">
        <v>114</v>
      </c>
      <c r="B3" s="91"/>
      <c r="C3" s="121" t="s">
        <v>115</v>
      </c>
      <c r="D3" s="94"/>
      <c r="E3" s="94"/>
      <c r="F3" s="94"/>
      <c r="G3" s="91"/>
      <c r="H3" s="121" t="s">
        <v>116</v>
      </c>
      <c r="I3" s="94"/>
      <c r="J3" s="94"/>
      <c r="K3" s="94"/>
      <c r="L3" s="91"/>
      <c r="M3" s="121" t="s">
        <v>117</v>
      </c>
      <c r="N3" s="94"/>
      <c r="O3" s="94"/>
      <c r="P3" s="94"/>
      <c r="Q3" s="91"/>
    </row>
    <row r="4" spans="1:17" ht="15.6" customHeight="1">
      <c r="A4" s="120" t="s">
        <v>118</v>
      </c>
      <c r="B4" s="91"/>
      <c r="C4" s="85" t="s">
        <v>119</v>
      </c>
      <c r="D4" s="85" t="s">
        <v>120</v>
      </c>
      <c r="E4" s="85" t="s">
        <v>121</v>
      </c>
      <c r="F4" s="85" t="s">
        <v>122</v>
      </c>
      <c r="G4" s="85" t="s">
        <v>123</v>
      </c>
      <c r="H4" s="85" t="s">
        <v>119</v>
      </c>
      <c r="I4" s="85" t="s">
        <v>120</v>
      </c>
      <c r="J4" s="85" t="s">
        <v>121</v>
      </c>
      <c r="K4" s="85" t="s">
        <v>122</v>
      </c>
      <c r="L4" s="85" t="s">
        <v>123</v>
      </c>
      <c r="M4" s="85" t="s">
        <v>119</v>
      </c>
      <c r="N4" s="85" t="s">
        <v>120</v>
      </c>
      <c r="O4" s="85" t="s">
        <v>121</v>
      </c>
      <c r="P4" s="85" t="s">
        <v>122</v>
      </c>
      <c r="Q4" s="85" t="s">
        <v>123</v>
      </c>
    </row>
    <row r="5" spans="1:17" ht="62.4" customHeight="1">
      <c r="A5" s="90" t="s">
        <v>124</v>
      </c>
      <c r="B5" s="79" t="s">
        <v>125</v>
      </c>
      <c r="C5" s="19">
        <v>0</v>
      </c>
      <c r="D5" s="19">
        <v>0</v>
      </c>
      <c r="E5" s="19">
        <v>0</v>
      </c>
      <c r="F5" s="19">
        <v>0</v>
      </c>
      <c r="G5" s="13">
        <v>0</v>
      </c>
      <c r="H5" s="19">
        <v>0</v>
      </c>
      <c r="I5" s="19">
        <v>0</v>
      </c>
      <c r="J5" s="19">
        <v>0</v>
      </c>
      <c r="K5" s="19">
        <v>0</v>
      </c>
      <c r="L5" s="19">
        <v>0</v>
      </c>
      <c r="M5" s="19">
        <v>0</v>
      </c>
      <c r="N5" s="19">
        <v>0</v>
      </c>
      <c r="O5" s="19">
        <v>0</v>
      </c>
      <c r="P5" s="19">
        <v>0</v>
      </c>
      <c r="Q5" s="15">
        <v>0</v>
      </c>
    </row>
    <row r="6" spans="1:17" ht="62.4" customHeight="1">
      <c r="A6" s="89"/>
      <c r="B6" s="79" t="s">
        <v>126</v>
      </c>
      <c r="C6" s="9">
        <f>'Структура пр 2'!B15:C15</f>
        <v>0</v>
      </c>
      <c r="D6" s="9">
        <f>'Структура пр 2'!Q15</f>
        <v>890249</v>
      </c>
      <c r="E6" s="9">
        <f>'Структура пр 2'!AF15</f>
        <v>1078949</v>
      </c>
      <c r="F6" s="9">
        <f>'Структура пр 2'!AU15</f>
        <v>1014849</v>
      </c>
      <c r="G6" s="14">
        <f>F6+E6+D6+C6</f>
        <v>2984047</v>
      </c>
      <c r="H6" s="19">
        <v>0</v>
      </c>
      <c r="I6" s="19">
        <v>0</v>
      </c>
      <c r="J6" s="19">
        <v>0</v>
      </c>
      <c r="K6" s="19">
        <v>0</v>
      </c>
      <c r="L6" s="19">
        <v>0</v>
      </c>
      <c r="M6" s="18">
        <f>'Структура пр 2'!D15</f>
        <v>0</v>
      </c>
      <c r="N6" s="18">
        <f>'Структура пр 2'!T15</f>
        <v>0</v>
      </c>
      <c r="O6" s="18">
        <f>'Структура пр 2'!AI15</f>
        <v>0</v>
      </c>
      <c r="P6" s="18">
        <f>'Структура пр 2'!AW15</f>
        <v>0</v>
      </c>
      <c r="Q6" s="17">
        <f>P6+O6+N6+M6</f>
        <v>0</v>
      </c>
    </row>
    <row r="7" spans="1:17" ht="70.95" hidden="1" customHeight="1">
      <c r="A7" s="90" t="s">
        <v>127</v>
      </c>
      <c r="B7" s="79" t="s">
        <v>128</v>
      </c>
      <c r="C7" s="79"/>
      <c r="D7" s="79"/>
      <c r="E7" s="79"/>
      <c r="F7" s="79"/>
      <c r="G7" s="13"/>
      <c r="H7" s="19">
        <v>0</v>
      </c>
      <c r="I7" s="19">
        <v>0</v>
      </c>
      <c r="J7" s="19">
        <v>0</v>
      </c>
      <c r="K7" s="19">
        <v>0</v>
      </c>
      <c r="L7" s="19">
        <v>0</v>
      </c>
      <c r="M7" s="79"/>
      <c r="N7" s="79"/>
      <c r="O7" s="79"/>
      <c r="P7" s="79"/>
      <c r="Q7" s="13"/>
    </row>
    <row r="8" spans="1:17" ht="69.599999999999994" hidden="1" customHeight="1">
      <c r="A8" s="89"/>
      <c r="B8" s="79" t="s">
        <v>129</v>
      </c>
      <c r="C8" s="19"/>
      <c r="D8" s="19"/>
      <c r="E8" s="79"/>
      <c r="F8" s="79"/>
      <c r="G8" s="13"/>
      <c r="H8" s="19">
        <v>0</v>
      </c>
      <c r="I8" s="19">
        <v>0</v>
      </c>
      <c r="J8" s="19">
        <v>0</v>
      </c>
      <c r="K8" s="19">
        <v>0</v>
      </c>
      <c r="L8" s="19">
        <v>0</v>
      </c>
      <c r="M8" s="79"/>
      <c r="N8" s="79"/>
      <c r="O8" s="79"/>
      <c r="P8" s="79"/>
      <c r="Q8" s="13"/>
    </row>
    <row r="9" spans="1:17" ht="62.4" customHeight="1">
      <c r="A9" s="90" t="s">
        <v>130</v>
      </c>
      <c r="B9" s="79" t="s">
        <v>128</v>
      </c>
      <c r="C9" s="19">
        <v>0</v>
      </c>
      <c r="D9" s="19">
        <v>0</v>
      </c>
      <c r="E9" s="19">
        <v>0</v>
      </c>
      <c r="F9" s="19">
        <v>0</v>
      </c>
      <c r="G9" s="15">
        <v>0</v>
      </c>
      <c r="H9" s="19">
        <v>0</v>
      </c>
      <c r="I9" s="19">
        <v>0</v>
      </c>
      <c r="J9" s="19">
        <v>0</v>
      </c>
      <c r="K9" s="19">
        <v>0</v>
      </c>
      <c r="L9" s="19">
        <v>0</v>
      </c>
      <c r="M9" s="19">
        <v>0</v>
      </c>
      <c r="N9" s="19">
        <v>0</v>
      </c>
      <c r="O9" s="19">
        <v>0</v>
      </c>
      <c r="P9" s="19">
        <v>0</v>
      </c>
      <c r="Q9" s="15">
        <v>0</v>
      </c>
    </row>
    <row r="10" spans="1:17" ht="62.4" customHeight="1">
      <c r="A10" s="89"/>
      <c r="B10" s="79" t="s">
        <v>129</v>
      </c>
      <c r="C10" s="10">
        <f>'Структура пр 2'!B11</f>
        <v>795615</v>
      </c>
      <c r="D10" s="10">
        <f>'Структура пр 2'!Q11</f>
        <v>721299</v>
      </c>
      <c r="E10" s="10">
        <f>'Структура пр 2'!AF11</f>
        <v>874187</v>
      </c>
      <c r="F10" s="10">
        <f>'Структура пр 2'!AU11</f>
        <v>822252</v>
      </c>
      <c r="G10" s="16">
        <f>F10+E10+D10+C10</f>
        <v>3213353</v>
      </c>
      <c r="H10" s="19">
        <v>0</v>
      </c>
      <c r="I10" s="19">
        <v>0</v>
      </c>
      <c r="J10" s="19">
        <v>0</v>
      </c>
      <c r="K10" s="19">
        <v>0</v>
      </c>
      <c r="L10" s="19">
        <v>0</v>
      </c>
      <c r="M10" s="18">
        <f>'Структура пр 2'!E11</f>
        <v>0</v>
      </c>
      <c r="N10" s="11">
        <f>'Структура пр 2'!T11</f>
        <v>0</v>
      </c>
      <c r="O10" s="11">
        <f>'Структура пр 2'!AI11</f>
        <v>0</v>
      </c>
      <c r="P10" s="11">
        <f>'Структура пр 2'!AX11</f>
        <v>0</v>
      </c>
      <c r="Q10" s="17">
        <f>P10+O10+N10+M10</f>
        <v>0</v>
      </c>
    </row>
    <row r="11" spans="1:17" ht="124.8" customHeight="1">
      <c r="A11" s="79" t="s">
        <v>131</v>
      </c>
      <c r="B11" s="79"/>
      <c r="C11" s="19">
        <v>0</v>
      </c>
      <c r="D11" s="19">
        <v>0</v>
      </c>
      <c r="E11" s="19">
        <v>0</v>
      </c>
      <c r="F11" s="19">
        <v>0</v>
      </c>
      <c r="G11" s="13">
        <v>0</v>
      </c>
      <c r="H11" s="19">
        <v>0</v>
      </c>
      <c r="I11" s="19">
        <v>0</v>
      </c>
      <c r="J11" s="19">
        <v>0</v>
      </c>
      <c r="K11" s="19">
        <v>0</v>
      </c>
      <c r="L11" s="19">
        <v>0</v>
      </c>
      <c r="M11" s="19">
        <v>0</v>
      </c>
      <c r="N11" s="19">
        <v>0</v>
      </c>
      <c r="O11" s="19">
        <v>0</v>
      </c>
      <c r="P11" s="19">
        <v>0</v>
      </c>
      <c r="Q11" s="15">
        <v>0</v>
      </c>
    </row>
    <row r="12" spans="1:17" ht="88.2" customHeight="1">
      <c r="A12" s="79" t="s">
        <v>132</v>
      </c>
      <c r="B12" s="79"/>
      <c r="C12" s="11">
        <f>'Структура пр 2'!B14/1000</f>
        <v>10.301</v>
      </c>
      <c r="D12" s="11">
        <f>'Структура пр 2'!Q14/1000</f>
        <v>9.3390000000000004</v>
      </c>
      <c r="E12" s="11">
        <f>'Структура пр 2'!AF14/1000</f>
        <v>11.318</v>
      </c>
      <c r="F12" s="11">
        <f>'Структура пр 2'!AU14/1000</f>
        <v>10.646000000000001</v>
      </c>
      <c r="G12" s="17">
        <f>F12+E12+D12+C12</f>
        <v>41.603999999999999</v>
      </c>
      <c r="H12" s="19">
        <v>0</v>
      </c>
      <c r="I12" s="19">
        <v>0</v>
      </c>
      <c r="J12" s="19">
        <v>0</v>
      </c>
      <c r="K12" s="19">
        <v>0</v>
      </c>
      <c r="L12" s="19">
        <v>0</v>
      </c>
      <c r="M12" s="11">
        <f>'Структура пр 2'!E14</f>
        <v>14.371</v>
      </c>
      <c r="N12" s="11">
        <f>'Структура пр 2'!T14</f>
        <v>2.44</v>
      </c>
      <c r="O12" s="11">
        <f>'Структура пр 2'!AI14</f>
        <v>1.1910000000000001</v>
      </c>
      <c r="P12" s="11">
        <f>'Структура пр 2'!AX14</f>
        <v>7.7249999999999996</v>
      </c>
      <c r="Q12" s="17">
        <f>P12+O12+N12+M12</f>
        <v>25.727</v>
      </c>
    </row>
    <row r="13" spans="1:17" ht="97.2" customHeight="1">
      <c r="A13" s="79" t="s">
        <v>133</v>
      </c>
      <c r="B13" s="79"/>
      <c r="C13" s="18">
        <f>'Структура пр 2'!B10/1000</f>
        <v>1012.524</v>
      </c>
      <c r="D13" s="18">
        <f>'Структура пр 2'!Q10/1000</f>
        <v>917.947</v>
      </c>
      <c r="E13" s="18">
        <f>'Структура пр 2'!AF10/1000</f>
        <v>1112.5170000000001</v>
      </c>
      <c r="F13" s="18">
        <f>'Структура пр 2'!AU10/1000</f>
        <v>1046.423</v>
      </c>
      <c r="G13" s="17">
        <f>F13+E13+D13+C13</f>
        <v>4089.4110000000001</v>
      </c>
      <c r="H13" s="19">
        <v>0</v>
      </c>
      <c r="I13" s="19">
        <v>0</v>
      </c>
      <c r="J13" s="19">
        <v>0</v>
      </c>
      <c r="K13" s="19">
        <v>0</v>
      </c>
      <c r="L13" s="19">
        <v>0</v>
      </c>
      <c r="M13" s="18">
        <f>'Структура пр 2'!E10</f>
        <v>15.667</v>
      </c>
      <c r="N13" s="18">
        <f>'Структура пр 2'!T10</f>
        <v>3.7360000000000002</v>
      </c>
      <c r="O13" s="18">
        <f>'Структура пр 2'!AI10</f>
        <v>2.4870000000000001</v>
      </c>
      <c r="P13" s="18">
        <f>'Структура пр 2'!AX10</f>
        <v>9.0210000000000008</v>
      </c>
      <c r="Q13" s="17">
        <f>P13+O13+N13+M13</f>
        <v>30.911000000000001</v>
      </c>
    </row>
    <row r="14" spans="1:17" ht="57" customHeight="1">
      <c r="A14" s="79" t="s">
        <v>134</v>
      </c>
      <c r="B14" s="79"/>
      <c r="C14" s="13">
        <f>'Расход  на ед.п'!$T$16*100</f>
        <v>66.860465116279073</v>
      </c>
      <c r="D14" s="13">
        <f>'Расход  на ед.п'!$T$16*100</f>
        <v>66.860465116279073</v>
      </c>
      <c r="E14" s="13">
        <f>'Расход  на ед.п'!$T$16*100</f>
        <v>66.860465116279073</v>
      </c>
      <c r="F14" s="13">
        <f>'Расход  на ед.п'!$T$16*100</f>
        <v>66.860465116279073</v>
      </c>
      <c r="G14" s="13">
        <f>'Расход  на ед.п'!$T$16*100</f>
        <v>66.860465116279073</v>
      </c>
      <c r="H14" s="19"/>
      <c r="I14" s="19"/>
      <c r="J14" s="19"/>
      <c r="K14" s="19"/>
      <c r="L14" s="19"/>
      <c r="M14" s="13"/>
      <c r="N14" s="13"/>
      <c r="O14" s="13"/>
      <c r="P14" s="13"/>
      <c r="Q14" s="13" t="s">
        <v>240</v>
      </c>
    </row>
    <row r="18" spans="1:18" ht="17.399999999999999" customHeight="1">
      <c r="A18" s="122" t="s">
        <v>135</v>
      </c>
      <c r="B18" s="94"/>
      <c r="C18" s="94"/>
      <c r="D18" s="94"/>
      <c r="E18" s="94"/>
      <c r="F18" s="94"/>
      <c r="G18" s="94"/>
      <c r="H18" s="94"/>
      <c r="I18" s="94"/>
      <c r="J18" s="94"/>
      <c r="K18" s="94"/>
      <c r="L18" s="94"/>
      <c r="M18" s="94"/>
      <c r="N18" s="94"/>
      <c r="O18" s="94"/>
      <c r="P18" s="94"/>
      <c r="Q18" s="91"/>
    </row>
    <row r="19" spans="1:18" ht="15.6" customHeight="1">
      <c r="A19" s="90"/>
      <c r="B19" s="91"/>
      <c r="C19" s="19"/>
      <c r="D19" s="19"/>
      <c r="E19" s="19"/>
      <c r="F19" s="19"/>
      <c r="G19" s="19"/>
      <c r="H19" s="19"/>
      <c r="I19" s="19"/>
      <c r="J19" s="19"/>
      <c r="K19" s="19"/>
      <c r="L19" s="19"/>
      <c r="M19" s="123" t="s">
        <v>113</v>
      </c>
      <c r="N19" s="94"/>
      <c r="O19" s="94"/>
      <c r="P19" s="94"/>
      <c r="Q19" s="91"/>
    </row>
    <row r="20" spans="1:18" ht="15.6" customHeight="1">
      <c r="A20" s="120" t="s">
        <v>114</v>
      </c>
      <c r="B20" s="91"/>
      <c r="C20" s="121" t="s">
        <v>115</v>
      </c>
      <c r="D20" s="94"/>
      <c r="E20" s="94"/>
      <c r="F20" s="94"/>
      <c r="G20" s="91"/>
      <c r="H20" s="121" t="s">
        <v>116</v>
      </c>
      <c r="I20" s="94"/>
      <c r="J20" s="94"/>
      <c r="K20" s="94"/>
      <c r="L20" s="91"/>
      <c r="M20" s="121" t="s">
        <v>117</v>
      </c>
      <c r="N20" s="94"/>
      <c r="O20" s="94"/>
      <c r="P20" s="94"/>
      <c r="Q20" s="91"/>
    </row>
    <row r="21" spans="1:18" ht="15.6" customHeight="1">
      <c r="A21" s="120" t="s">
        <v>118</v>
      </c>
      <c r="B21" s="91"/>
      <c r="C21" s="85" t="s">
        <v>119</v>
      </c>
      <c r="D21" s="85" t="s">
        <v>120</v>
      </c>
      <c r="E21" s="85" t="s">
        <v>121</v>
      </c>
      <c r="F21" s="85" t="s">
        <v>122</v>
      </c>
      <c r="G21" s="85" t="s">
        <v>123</v>
      </c>
      <c r="H21" s="85" t="s">
        <v>119</v>
      </c>
      <c r="I21" s="85" t="s">
        <v>120</v>
      </c>
      <c r="J21" s="85" t="s">
        <v>121</v>
      </c>
      <c r="K21" s="85" t="s">
        <v>122</v>
      </c>
      <c r="L21" s="85" t="s">
        <v>123</v>
      </c>
      <c r="M21" s="85" t="s">
        <v>119</v>
      </c>
      <c r="N21" s="85" t="s">
        <v>120</v>
      </c>
      <c r="O21" s="85" t="s">
        <v>121</v>
      </c>
      <c r="P21" s="85" t="s">
        <v>122</v>
      </c>
      <c r="Q21" s="85" t="s">
        <v>123</v>
      </c>
    </row>
    <row r="22" spans="1:18" ht="62.4" customHeight="1">
      <c r="A22" s="90" t="s">
        <v>124</v>
      </c>
      <c r="B22" s="79" t="s">
        <v>125</v>
      </c>
      <c r="C22" s="19">
        <f t="shared" ref="C22:Q22" si="0">C6</f>
        <v>0</v>
      </c>
      <c r="D22" s="19">
        <f t="shared" si="0"/>
        <v>890249</v>
      </c>
      <c r="E22" s="19">
        <f t="shared" si="0"/>
        <v>1078949</v>
      </c>
      <c r="F22" s="19">
        <f t="shared" si="0"/>
        <v>1014849</v>
      </c>
      <c r="G22" s="15">
        <f t="shared" si="0"/>
        <v>2984047</v>
      </c>
      <c r="H22" s="19">
        <f t="shared" si="0"/>
        <v>0</v>
      </c>
      <c r="I22" s="19">
        <f t="shared" si="0"/>
        <v>0</v>
      </c>
      <c r="J22" s="19">
        <f t="shared" si="0"/>
        <v>0</v>
      </c>
      <c r="K22" s="19">
        <f t="shared" si="0"/>
        <v>0</v>
      </c>
      <c r="L22" s="19">
        <f t="shared" si="0"/>
        <v>0</v>
      </c>
      <c r="M22" s="18">
        <f t="shared" si="0"/>
        <v>0</v>
      </c>
      <c r="N22" s="18">
        <f t="shared" si="0"/>
        <v>0</v>
      </c>
      <c r="O22" s="18">
        <f t="shared" si="0"/>
        <v>0</v>
      </c>
      <c r="P22" s="18">
        <f t="shared" si="0"/>
        <v>0</v>
      </c>
      <c r="Q22" s="17">
        <f t="shared" si="0"/>
        <v>0</v>
      </c>
    </row>
    <row r="23" spans="1:18" ht="62.4" customHeight="1">
      <c r="A23" s="89"/>
      <c r="B23" s="79" t="s">
        <v>126</v>
      </c>
      <c r="C23" s="19">
        <f>'Структура пр 2'!B37</f>
        <v>943780</v>
      </c>
      <c r="D23" s="12">
        <f>'Структура пр 2'!Q37</f>
        <v>1282804</v>
      </c>
      <c r="E23" s="9">
        <f>'Структура пр 2'!AF37</f>
        <v>1444004</v>
      </c>
      <c r="F23" s="19">
        <f>'Структура пр 2'!AU37</f>
        <v>1443365</v>
      </c>
      <c r="G23" s="16">
        <f>F23+E23+D23+C23</f>
        <v>5113953</v>
      </c>
      <c r="H23" s="19"/>
      <c r="I23" s="19"/>
      <c r="J23" s="19"/>
      <c r="K23" s="19"/>
      <c r="L23" s="19"/>
      <c r="M23" s="18">
        <f>'[1]Структура пр 2'!D37</f>
        <v>0</v>
      </c>
      <c r="N23" s="18">
        <f>'Структура пр 2'!S37</f>
        <v>0</v>
      </c>
      <c r="O23" s="18">
        <f>'Структура пр 2'!AH37</f>
        <v>0</v>
      </c>
      <c r="P23" s="18">
        <f>'Структура пр 2'!AW37</f>
        <v>0</v>
      </c>
      <c r="Q23" s="17">
        <f>P23+O23+N23+M23</f>
        <v>0</v>
      </c>
    </row>
    <row r="24" spans="1:18" ht="62.4" hidden="1" customHeight="1">
      <c r="A24" s="90" t="s">
        <v>127</v>
      </c>
      <c r="B24" s="79" t="s">
        <v>128</v>
      </c>
      <c r="C24" s="79"/>
      <c r="D24" s="79"/>
      <c r="E24" s="79"/>
      <c r="F24" s="79"/>
      <c r="G24" s="13"/>
      <c r="H24" s="19"/>
      <c r="I24" s="19"/>
      <c r="J24" s="19"/>
      <c r="K24" s="19"/>
      <c r="L24" s="19"/>
      <c r="M24" s="79"/>
      <c r="N24" s="79"/>
      <c r="O24" s="79"/>
      <c r="P24" s="79"/>
      <c r="Q24" s="13"/>
    </row>
    <row r="25" spans="1:18" ht="62.4" hidden="1" customHeight="1">
      <c r="A25" s="89"/>
      <c r="B25" s="79" t="s">
        <v>129</v>
      </c>
      <c r="C25" s="19"/>
      <c r="D25" s="19"/>
      <c r="E25" s="79"/>
      <c r="F25" s="79"/>
      <c r="G25" s="13"/>
      <c r="H25" s="19"/>
      <c r="I25" s="19"/>
      <c r="J25" s="19"/>
      <c r="K25" s="19"/>
      <c r="L25" s="19"/>
      <c r="M25" s="79"/>
      <c r="N25" s="79"/>
      <c r="O25" s="79"/>
      <c r="P25" s="79"/>
      <c r="Q25" s="13"/>
    </row>
    <row r="26" spans="1:18" ht="62.4" customHeight="1">
      <c r="A26" s="90" t="s">
        <v>130</v>
      </c>
      <c r="B26" s="79" t="s">
        <v>128</v>
      </c>
      <c r="C26" s="79">
        <f t="shared" ref="C26:Q26" si="1">C10</f>
        <v>795615</v>
      </c>
      <c r="D26" s="79">
        <f t="shared" si="1"/>
        <v>721299</v>
      </c>
      <c r="E26" s="79">
        <f t="shared" si="1"/>
        <v>874187</v>
      </c>
      <c r="F26" s="79">
        <f t="shared" si="1"/>
        <v>822252</v>
      </c>
      <c r="G26" s="13">
        <f t="shared" si="1"/>
        <v>3213353</v>
      </c>
      <c r="H26" s="79">
        <f t="shared" si="1"/>
        <v>0</v>
      </c>
      <c r="I26" s="79">
        <f t="shared" si="1"/>
        <v>0</v>
      </c>
      <c r="J26" s="79">
        <f t="shared" si="1"/>
        <v>0</v>
      </c>
      <c r="K26" s="79">
        <f t="shared" si="1"/>
        <v>0</v>
      </c>
      <c r="L26" s="79">
        <f t="shared" si="1"/>
        <v>0</v>
      </c>
      <c r="M26" s="11">
        <f t="shared" si="1"/>
        <v>0</v>
      </c>
      <c r="N26" s="11">
        <f t="shared" si="1"/>
        <v>0</v>
      </c>
      <c r="O26" s="18">
        <f t="shared" si="1"/>
        <v>0</v>
      </c>
      <c r="P26" s="60">
        <f t="shared" si="1"/>
        <v>0</v>
      </c>
      <c r="Q26" s="60">
        <f t="shared" si="1"/>
        <v>0</v>
      </c>
    </row>
    <row r="27" spans="1:18" ht="62.4" customHeight="1">
      <c r="A27" s="89"/>
      <c r="B27" s="79" t="s">
        <v>129</v>
      </c>
      <c r="C27" s="79">
        <f>'Структура пр 2'!B33</f>
        <v>764671</v>
      </c>
      <c r="D27" s="79">
        <f>'Структура пр 2'!Q33</f>
        <v>1039355</v>
      </c>
      <c r="E27" s="79">
        <f>'Структура пр 2'!AF33</f>
        <v>1169963</v>
      </c>
      <c r="F27" s="79">
        <f>'Структура пр 2'!AU33</f>
        <v>1169445</v>
      </c>
      <c r="G27" s="16">
        <f>F27+E27+D27+C27</f>
        <v>4143434</v>
      </c>
      <c r="H27" s="19"/>
      <c r="I27" s="19"/>
      <c r="J27" s="19"/>
      <c r="K27" s="19"/>
      <c r="L27" s="19"/>
      <c r="M27" s="18">
        <f>'Структура пр 2'!E33</f>
        <v>0</v>
      </c>
      <c r="N27" s="18">
        <f>'Структура пр 2'!T33</f>
        <v>0</v>
      </c>
      <c r="O27" s="18">
        <f>'Структура пр 2'!AI33</f>
        <v>0</v>
      </c>
      <c r="P27" s="60">
        <f>'Структура пр 2'!AX33</f>
        <v>0</v>
      </c>
      <c r="Q27" s="60">
        <f>P27+O27+N27+M27</f>
        <v>0</v>
      </c>
    </row>
    <row r="28" spans="1:18" ht="124.8" customHeight="1">
      <c r="A28" s="79" t="s">
        <v>131</v>
      </c>
      <c r="B28" s="79"/>
      <c r="C28" s="79" t="s">
        <v>136</v>
      </c>
      <c r="D28" s="79" t="s">
        <v>137</v>
      </c>
      <c r="E28" s="79" t="s">
        <v>138</v>
      </c>
      <c r="F28" s="79" t="s">
        <v>139</v>
      </c>
      <c r="G28" s="13" t="s">
        <v>140</v>
      </c>
      <c r="H28" s="19"/>
      <c r="I28" s="19"/>
      <c r="J28" s="19"/>
      <c r="K28" s="19"/>
      <c r="L28" s="19"/>
      <c r="M28" s="79" t="s">
        <v>141</v>
      </c>
      <c r="N28" s="79" t="s">
        <v>142</v>
      </c>
      <c r="O28" s="79" t="s">
        <v>143</v>
      </c>
      <c r="P28" s="61"/>
      <c r="Q28" s="61"/>
      <c r="R28" s="59"/>
    </row>
    <row r="29" spans="1:18" ht="46.8" customHeight="1">
      <c r="A29" s="79" t="s">
        <v>132</v>
      </c>
      <c r="B29" s="79"/>
      <c r="C29" s="79">
        <f>'Структура пр 2'!B36/1000</f>
        <v>9.9</v>
      </c>
      <c r="D29" s="79">
        <f>'Структура пр 2'!Q36/1000</f>
        <v>13.456</v>
      </c>
      <c r="E29" s="79">
        <f>'Структура пр 2'!AF36/1000</f>
        <v>15.147</v>
      </c>
      <c r="F29" s="79">
        <f>'Структура пр 2'!AU36/1000</f>
        <v>15.141</v>
      </c>
      <c r="G29" s="17">
        <f>F29+E29+D29+C29</f>
        <v>53.643999999999998</v>
      </c>
      <c r="H29" s="19"/>
      <c r="I29" s="19"/>
      <c r="J29" s="19"/>
      <c r="K29" s="19"/>
      <c r="L29" s="19"/>
      <c r="M29" s="79">
        <f>'Структура пр 2'!E36</f>
        <v>13.523</v>
      </c>
      <c r="N29" s="79">
        <f>'Структура пр 2'!T36</f>
        <v>2.0859999999999999</v>
      </c>
      <c r="O29" s="79">
        <f>'Структура пр 2'!AI36</f>
        <v>1.5660000000000001</v>
      </c>
      <c r="P29" s="79">
        <f>'Структура пр 2'!AX36</f>
        <v>9.891</v>
      </c>
      <c r="Q29" s="17">
        <f>P29+O29+N29+M29</f>
        <v>27.066000000000003</v>
      </c>
    </row>
    <row r="30" spans="1:18" ht="46.8" customHeight="1">
      <c r="A30" s="79" t="s">
        <v>133</v>
      </c>
      <c r="B30" s="79"/>
      <c r="C30" s="19">
        <f>'Структура пр 2'!B32/1000</f>
        <v>973.14300000000003</v>
      </c>
      <c r="D30" s="19">
        <f>'Структура пр 2'!Q32/1000</f>
        <v>1322.7139999999999</v>
      </c>
      <c r="E30" s="19">
        <f>'Структура пр 2'!AF32/1000</f>
        <v>1488.93</v>
      </c>
      <c r="F30" s="19">
        <f>'Структура пр 2'!AU32/1000</f>
        <v>1488.271</v>
      </c>
      <c r="G30" s="17">
        <f>F30+E30+D30+C30</f>
        <v>5273.058</v>
      </c>
      <c r="H30" s="19"/>
      <c r="I30" s="19"/>
      <c r="J30" s="19"/>
      <c r="K30" s="19"/>
      <c r="L30" s="19"/>
      <c r="M30" s="19">
        <f>'Структура пр 2'!E32</f>
        <v>14.081899999999999</v>
      </c>
      <c r="N30" s="19">
        <f>'Структура пр 2'!T32</f>
        <v>3.3820000000000001</v>
      </c>
      <c r="O30" s="19">
        <f>'Структура пр 2'!AI32</f>
        <v>2.8620000000000001</v>
      </c>
      <c r="P30" s="19">
        <f>'Структура пр 2'!AX32</f>
        <v>11.186999999999999</v>
      </c>
      <c r="Q30" s="17">
        <f>P30+O30+N30+M30</f>
        <v>31.512900000000002</v>
      </c>
    </row>
    <row r="31" spans="1:18" ht="62.4" customHeight="1">
      <c r="A31" s="79" t="s">
        <v>134</v>
      </c>
      <c r="B31" s="79"/>
      <c r="C31" s="13">
        <f>'Расход  на ед.п'!T17*100</f>
        <v>76.627906976744185</v>
      </c>
      <c r="D31" s="13">
        <f>'Расход  на ед.п'!T17*100</f>
        <v>76.627906976744185</v>
      </c>
      <c r="E31" s="13">
        <f>'Расход  на ед.п'!T17*100</f>
        <v>76.627906976744185</v>
      </c>
      <c r="F31" s="13">
        <f>'Расход  на ед.п'!T17*100</f>
        <v>76.627906976744185</v>
      </c>
      <c r="G31" s="13">
        <f>'Расход  на ед.п'!T17*100</f>
        <v>76.627906976744185</v>
      </c>
      <c r="H31" s="19"/>
      <c r="I31" s="19"/>
      <c r="J31" s="19"/>
      <c r="K31" s="19"/>
      <c r="L31" s="19"/>
      <c r="M31" s="13"/>
      <c r="N31" s="13"/>
      <c r="O31" s="13"/>
      <c r="P31" s="13"/>
      <c r="Q31" s="13"/>
    </row>
    <row r="35" spans="1:25" ht="17.399999999999999" customHeight="1">
      <c r="A35" s="122" t="s">
        <v>144</v>
      </c>
      <c r="B35" s="94"/>
      <c r="C35" s="94"/>
      <c r="D35" s="94"/>
      <c r="E35" s="94"/>
      <c r="F35" s="94"/>
      <c r="G35" s="94"/>
      <c r="H35" s="94"/>
      <c r="I35" s="94"/>
      <c r="J35" s="94"/>
      <c r="K35" s="94"/>
      <c r="L35" s="94"/>
      <c r="M35" s="94"/>
      <c r="N35" s="94"/>
      <c r="O35" s="94"/>
      <c r="P35" s="94"/>
      <c r="Q35" s="91"/>
    </row>
    <row r="36" spans="1:25" ht="15.6" customHeight="1">
      <c r="A36" s="90"/>
      <c r="B36" s="91"/>
      <c r="C36" s="19"/>
      <c r="D36" s="19"/>
      <c r="E36" s="19"/>
      <c r="F36" s="19"/>
      <c r="G36" s="19"/>
      <c r="H36" s="19"/>
      <c r="I36" s="19"/>
      <c r="J36" s="19"/>
      <c r="K36" s="19"/>
      <c r="L36" s="19"/>
      <c r="M36" s="123" t="s">
        <v>113</v>
      </c>
      <c r="N36" s="94"/>
      <c r="O36" s="94"/>
      <c r="P36" s="94"/>
      <c r="Q36" s="91"/>
    </row>
    <row r="37" spans="1:25" ht="16.2" customHeight="1">
      <c r="A37" s="120" t="s">
        <v>114</v>
      </c>
      <c r="B37" s="91"/>
      <c r="C37" s="121" t="s">
        <v>115</v>
      </c>
      <c r="D37" s="94"/>
      <c r="E37" s="94"/>
      <c r="F37" s="94"/>
      <c r="G37" s="91"/>
      <c r="H37" s="121" t="s">
        <v>116</v>
      </c>
      <c r="I37" s="94"/>
      <c r="J37" s="94"/>
      <c r="K37" s="94"/>
      <c r="L37" s="91"/>
      <c r="M37" s="121" t="s">
        <v>117</v>
      </c>
      <c r="N37" s="94"/>
      <c r="O37" s="94"/>
      <c r="P37" s="94"/>
      <c r="Q37" s="91"/>
      <c r="U37" s="6" t="s">
        <v>145</v>
      </c>
      <c r="W37" s="6" t="s">
        <v>146</v>
      </c>
    </row>
    <row r="38" spans="1:25" ht="15.6" customHeight="1">
      <c r="A38" s="120" t="s">
        <v>118</v>
      </c>
      <c r="B38" s="91"/>
      <c r="C38" s="85" t="s">
        <v>119</v>
      </c>
      <c r="D38" s="85" t="s">
        <v>120</v>
      </c>
      <c r="E38" s="85" t="s">
        <v>121</v>
      </c>
      <c r="F38" s="85" t="s">
        <v>122</v>
      </c>
      <c r="G38" s="85" t="s">
        <v>123</v>
      </c>
      <c r="H38" s="85" t="s">
        <v>119</v>
      </c>
      <c r="I38" s="85" t="s">
        <v>120</v>
      </c>
      <c r="J38" s="85" t="s">
        <v>121</v>
      </c>
      <c r="K38" s="85" t="s">
        <v>122</v>
      </c>
      <c r="L38" s="85" t="s">
        <v>123</v>
      </c>
      <c r="M38" s="85" t="s">
        <v>119</v>
      </c>
      <c r="N38" s="85" t="s">
        <v>120</v>
      </c>
      <c r="O38" s="85" t="s">
        <v>121</v>
      </c>
      <c r="P38" s="85" t="s">
        <v>122</v>
      </c>
      <c r="Q38" s="85" t="s">
        <v>123</v>
      </c>
      <c r="T38">
        <v>8.6</v>
      </c>
      <c r="U38" s="7">
        <v>5.75</v>
      </c>
      <c r="V38">
        <f>U38/T38</f>
        <v>0.66860465116279078</v>
      </c>
      <c r="W38" s="7">
        <v>1.383</v>
      </c>
      <c r="X38">
        <v>3.4</v>
      </c>
      <c r="Y38">
        <f>W38/X38</f>
        <v>0.40676470588235297</v>
      </c>
    </row>
    <row r="39" spans="1:25" ht="62.4" customHeight="1">
      <c r="A39" s="90" t="s">
        <v>124</v>
      </c>
      <c r="B39" s="79" t="s">
        <v>125</v>
      </c>
      <c r="C39" s="19">
        <f t="shared" ref="C39:Q39" si="2">C23</f>
        <v>943780</v>
      </c>
      <c r="D39" s="19">
        <f t="shared" si="2"/>
        <v>1282804</v>
      </c>
      <c r="E39" s="19">
        <f t="shared" si="2"/>
        <v>1444004</v>
      </c>
      <c r="F39" s="19">
        <f t="shared" si="2"/>
        <v>1443365</v>
      </c>
      <c r="G39" s="15">
        <f t="shared" si="2"/>
        <v>5113953</v>
      </c>
      <c r="H39" s="19">
        <f t="shared" si="2"/>
        <v>0</v>
      </c>
      <c r="I39" s="19">
        <f t="shared" si="2"/>
        <v>0</v>
      </c>
      <c r="J39" s="19">
        <f t="shared" si="2"/>
        <v>0</v>
      </c>
      <c r="K39" s="19">
        <f t="shared" si="2"/>
        <v>0</v>
      </c>
      <c r="L39" s="19">
        <f t="shared" si="2"/>
        <v>0</v>
      </c>
      <c r="M39" s="19">
        <f t="shared" si="2"/>
        <v>0</v>
      </c>
      <c r="N39" s="19">
        <f t="shared" si="2"/>
        <v>0</v>
      </c>
      <c r="O39" s="19">
        <f t="shared" si="2"/>
        <v>0</v>
      </c>
      <c r="P39" s="19">
        <f t="shared" si="2"/>
        <v>0</v>
      </c>
      <c r="Q39" s="15">
        <f t="shared" si="2"/>
        <v>0</v>
      </c>
      <c r="T39">
        <v>8.6</v>
      </c>
      <c r="U39" s="7">
        <v>6.59</v>
      </c>
      <c r="V39">
        <f>U39/T39</f>
        <v>0.76627906976744187</v>
      </c>
      <c r="W39" s="7">
        <v>1.9490000000000001</v>
      </c>
      <c r="X39">
        <v>3.4</v>
      </c>
      <c r="Y39">
        <f>W39/X39</f>
        <v>0.57323529411764707</v>
      </c>
    </row>
    <row r="40" spans="1:25" ht="63" customHeight="1" thickBot="1">
      <c r="A40" s="89"/>
      <c r="B40" s="79" t="s">
        <v>126</v>
      </c>
      <c r="C40" s="19">
        <f>'Структура пр 2'!B59</f>
        <v>1121559</v>
      </c>
      <c r="D40" s="12">
        <f>'Структура пр 2'!Q59</f>
        <v>1007498</v>
      </c>
      <c r="E40" s="9">
        <f>'Структура пр 2'!AF59</f>
        <v>1254224</v>
      </c>
      <c r="F40" s="19">
        <f>'Структура пр 2'!AU59</f>
        <v>1338076</v>
      </c>
      <c r="G40" s="17">
        <f>F40+E40+D40+C40</f>
        <v>4721357</v>
      </c>
      <c r="H40" s="19"/>
      <c r="I40" s="19"/>
      <c r="J40" s="19"/>
      <c r="K40" s="19"/>
      <c r="L40" s="19"/>
      <c r="M40" s="19">
        <f>'Структура пр 2'!D59</f>
        <v>0</v>
      </c>
      <c r="N40" s="12">
        <f>'Структура пр 2'!S59</f>
        <v>0</v>
      </c>
      <c r="O40" s="9">
        <f>'Структура пр 2'!AH59</f>
        <v>0</v>
      </c>
      <c r="P40" s="19">
        <f>'Структура пр 2'!AW59</f>
        <v>0</v>
      </c>
      <c r="Q40" s="17">
        <f>P40+O40+N40+M40</f>
        <v>0</v>
      </c>
      <c r="T40">
        <v>8.6</v>
      </c>
      <c r="U40" s="7">
        <v>8.1199999999999992</v>
      </c>
      <c r="V40">
        <f>U40/T40</f>
        <v>0.94418604651162785</v>
      </c>
      <c r="W40" s="7">
        <v>3.4129999999999998</v>
      </c>
      <c r="X40">
        <v>3.4</v>
      </c>
      <c r="Y40">
        <f>W40/X40</f>
        <v>1.0038235294117648</v>
      </c>
    </row>
    <row r="41" spans="1:25" ht="62.4" hidden="1" customHeight="1">
      <c r="A41" s="90" t="s">
        <v>127</v>
      </c>
      <c r="B41" s="79" t="s">
        <v>128</v>
      </c>
      <c r="C41" s="79"/>
      <c r="D41" s="79"/>
      <c r="E41" s="79"/>
      <c r="F41" s="79"/>
      <c r="G41" s="13"/>
      <c r="H41" s="19"/>
      <c r="I41" s="19"/>
      <c r="J41" s="19"/>
      <c r="K41" s="19"/>
      <c r="L41" s="19"/>
      <c r="M41" s="79"/>
      <c r="N41" s="79"/>
      <c r="O41" s="79"/>
      <c r="P41" s="79"/>
      <c r="Q41" s="13"/>
    </row>
    <row r="42" spans="1:25" ht="62.4" hidden="1" customHeight="1">
      <c r="A42" s="89"/>
      <c r="B42" s="79" t="s">
        <v>129</v>
      </c>
      <c r="C42" s="19"/>
      <c r="D42" s="19"/>
      <c r="E42" s="79"/>
      <c r="F42" s="79"/>
      <c r="G42" s="13"/>
      <c r="H42" s="19"/>
      <c r="I42" s="19"/>
      <c r="J42" s="19"/>
      <c r="K42" s="19"/>
      <c r="L42" s="19"/>
      <c r="M42" s="79"/>
      <c r="N42" s="79"/>
      <c r="O42" s="79"/>
      <c r="P42" s="79"/>
      <c r="Q42" s="13"/>
    </row>
    <row r="43" spans="1:25" ht="62.4" customHeight="1">
      <c r="A43" s="90" t="s">
        <v>130</v>
      </c>
      <c r="B43" s="79" t="s">
        <v>128</v>
      </c>
      <c r="C43" s="79">
        <f t="shared" ref="C43:Q43" si="3">C27</f>
        <v>764671</v>
      </c>
      <c r="D43" s="79">
        <f t="shared" si="3"/>
        <v>1039355</v>
      </c>
      <c r="E43" s="79">
        <f t="shared" si="3"/>
        <v>1169963</v>
      </c>
      <c r="F43" s="79">
        <f t="shared" si="3"/>
        <v>1169445</v>
      </c>
      <c r="G43" s="13">
        <f t="shared" si="3"/>
        <v>4143434</v>
      </c>
      <c r="H43" s="79">
        <f t="shared" si="3"/>
        <v>0</v>
      </c>
      <c r="I43" s="79">
        <f t="shared" si="3"/>
        <v>0</v>
      </c>
      <c r="J43" s="79">
        <f t="shared" si="3"/>
        <v>0</v>
      </c>
      <c r="K43" s="79">
        <f t="shared" si="3"/>
        <v>0</v>
      </c>
      <c r="L43" s="79">
        <f t="shared" si="3"/>
        <v>0</v>
      </c>
      <c r="M43" s="79">
        <f t="shared" si="3"/>
        <v>0</v>
      </c>
      <c r="N43" s="79">
        <f t="shared" si="3"/>
        <v>0</v>
      </c>
      <c r="O43" s="79">
        <f t="shared" si="3"/>
        <v>0</v>
      </c>
      <c r="P43" s="79">
        <f t="shared" si="3"/>
        <v>0</v>
      </c>
      <c r="Q43" s="13">
        <f t="shared" si="3"/>
        <v>0</v>
      </c>
    </row>
    <row r="44" spans="1:25" ht="62.4" customHeight="1">
      <c r="A44" s="89"/>
      <c r="B44" s="79" t="s">
        <v>129</v>
      </c>
      <c r="C44" s="79">
        <f>'Структура пр 2'!B55</f>
        <v>908711</v>
      </c>
      <c r="D44" s="79">
        <f>'Структура пр 2'!Q55</f>
        <v>816296</v>
      </c>
      <c r="E44" s="79">
        <f>'Структура пр 2'!AF55</f>
        <v>1016199</v>
      </c>
      <c r="F44" s="79">
        <f>'Структура пр 2'!AU55</f>
        <v>1084138</v>
      </c>
      <c r="G44" s="17">
        <f>F44+E44+D44+C44</f>
        <v>3825344</v>
      </c>
      <c r="H44" s="19"/>
      <c r="I44" s="19"/>
      <c r="J44" s="19"/>
      <c r="K44" s="19"/>
      <c r="L44" s="19"/>
      <c r="M44" s="19">
        <f>'Структура пр 2'!E55</f>
        <v>0</v>
      </c>
      <c r="N44" s="79">
        <f>'Структура пр 2'!T55</f>
        <v>0</v>
      </c>
      <c r="O44" s="79">
        <f>'Структура пр 2'!AI55</f>
        <v>0</v>
      </c>
      <c r="P44" s="79">
        <f>'Структура пр 2'!AX55</f>
        <v>0</v>
      </c>
      <c r="Q44" s="17">
        <f>P44+O44+N44+M44</f>
        <v>0</v>
      </c>
    </row>
    <row r="45" spans="1:25" ht="124.8" customHeight="1">
      <c r="A45" s="79" t="s">
        <v>131</v>
      </c>
      <c r="B45" s="79"/>
      <c r="C45" s="79" t="s">
        <v>147</v>
      </c>
      <c r="D45" s="79" t="s">
        <v>148</v>
      </c>
      <c r="E45" s="79" t="s">
        <v>149</v>
      </c>
      <c r="F45" s="79" t="s">
        <v>150</v>
      </c>
      <c r="G45" s="13" t="s">
        <v>151</v>
      </c>
      <c r="H45" s="19"/>
      <c r="I45" s="19"/>
      <c r="J45" s="19"/>
      <c r="K45" s="19"/>
      <c r="L45" s="19"/>
      <c r="M45" s="79" t="s">
        <v>152</v>
      </c>
      <c r="N45" s="79" t="s">
        <v>153</v>
      </c>
      <c r="O45" s="79" t="s">
        <v>154</v>
      </c>
      <c r="P45" s="79" t="s">
        <v>155</v>
      </c>
      <c r="Q45" s="13" t="s">
        <v>156</v>
      </c>
    </row>
    <row r="46" spans="1:25" ht="46.8" customHeight="1">
      <c r="A46" s="79" t="s">
        <v>132</v>
      </c>
      <c r="B46" s="79"/>
      <c r="C46" s="79">
        <f>'Структура пр 2'!B58/1000</f>
        <v>11.765000000000001</v>
      </c>
      <c r="D46" s="79">
        <f>'Структура пр 2'!Q58/1000</f>
        <v>10.568</v>
      </c>
      <c r="E46" s="79">
        <f>'Структура пр 2'!AF58/1000</f>
        <v>13.157</v>
      </c>
      <c r="F46" s="79">
        <f>'Структура пр 2'!AU58/1000</f>
        <v>14.036</v>
      </c>
      <c r="G46" s="17">
        <f>F46+E46+D46+C46</f>
        <v>49.525999999999996</v>
      </c>
      <c r="H46" s="19"/>
      <c r="I46" s="19"/>
      <c r="J46" s="19"/>
      <c r="K46" s="19"/>
      <c r="L46" s="19"/>
      <c r="M46" s="79">
        <f>'Структура пр 2'!E58</f>
        <v>20.782</v>
      </c>
      <c r="N46" s="79">
        <f>'Структура пр 2'!T58</f>
        <v>1.4119999999999999</v>
      </c>
      <c r="O46" s="79">
        <f>'Структура пр 2'!AI58</f>
        <v>0.875</v>
      </c>
      <c r="P46" s="79">
        <f>'Структура пр 2'!AX58</f>
        <v>10.506</v>
      </c>
      <c r="Q46" s="17">
        <f>P46+O46+N46+M46</f>
        <v>33.575000000000003</v>
      </c>
    </row>
    <row r="47" spans="1:25" ht="46.8" customHeight="1">
      <c r="A47" s="79" t="s">
        <v>133</v>
      </c>
      <c r="B47" s="79"/>
      <c r="C47" s="19">
        <f>'Структура пр 2'!B54/1000</f>
        <v>1156.453</v>
      </c>
      <c r="D47" s="19">
        <f>'Структура пр 2'!Q54/1000</f>
        <v>1038.8430000000001</v>
      </c>
      <c r="E47" s="19">
        <f>'Структура пр 2'!AF54/1000</f>
        <v>1293.2460000000001</v>
      </c>
      <c r="F47" s="19">
        <f>'Структура пр 2'!AU54/1000</f>
        <v>1379.7059999999999</v>
      </c>
      <c r="G47" s="17">
        <f>F47+E47+D47+C47</f>
        <v>4868.2479999999996</v>
      </c>
      <c r="H47" s="19"/>
      <c r="I47" s="19"/>
      <c r="J47" s="19"/>
      <c r="K47" s="19"/>
      <c r="L47" s="19"/>
      <c r="M47" s="19">
        <f>'Структура пр 2'!E54</f>
        <v>22.077999999999999</v>
      </c>
      <c r="N47" s="19">
        <f>'Структура пр 2'!T54</f>
        <v>2.7080000000000002</v>
      </c>
      <c r="O47" s="19">
        <f>'Структура пр 2'!AI54</f>
        <v>2.1709999999999998</v>
      </c>
      <c r="P47" s="19">
        <f>'Структура пр 2'!AX54</f>
        <v>11.802</v>
      </c>
      <c r="Q47" s="17">
        <f>P47+O47+N47+M47</f>
        <v>38.759</v>
      </c>
    </row>
    <row r="48" spans="1:25" ht="62.4" customHeight="1">
      <c r="A48" s="79" t="s">
        <v>134</v>
      </c>
      <c r="B48" s="79"/>
      <c r="C48" s="13">
        <f>'Расход  на ед.п'!T18*100</f>
        <v>94.418604651162781</v>
      </c>
      <c r="D48" s="13">
        <f>'Расход  на ед.п'!T18*100</f>
        <v>94.418604651162781</v>
      </c>
      <c r="E48" s="13">
        <f>'Расход  на ед.п'!T18*100</f>
        <v>94.418604651162781</v>
      </c>
      <c r="F48" s="13">
        <f>'Расход  на ед.п'!T18*100</f>
        <v>94.418604651162781</v>
      </c>
      <c r="G48" s="13">
        <f>'Расход  на ед.п'!T18*100</f>
        <v>94.418604651162781</v>
      </c>
      <c r="H48" s="19"/>
      <c r="I48" s="19"/>
      <c r="J48" s="19"/>
      <c r="K48" s="19"/>
      <c r="L48" s="19"/>
      <c r="M48" s="13"/>
      <c r="N48" s="13"/>
      <c r="O48" s="13"/>
      <c r="P48" s="13"/>
      <c r="Q48" s="13"/>
    </row>
  </sheetData>
  <mergeCells count="33">
    <mergeCell ref="A1:Q1"/>
    <mergeCell ref="C20:G20"/>
    <mergeCell ref="M20:Q20"/>
    <mergeCell ref="M2:Q2"/>
    <mergeCell ref="A26:A27"/>
    <mergeCell ref="A3:B3"/>
    <mergeCell ref="A5:A6"/>
    <mergeCell ref="A21:B21"/>
    <mergeCell ref="A2:B2"/>
    <mergeCell ref="A18:Q18"/>
    <mergeCell ref="A22:A23"/>
    <mergeCell ref="A24:A25"/>
    <mergeCell ref="H3:L3"/>
    <mergeCell ref="A9:A10"/>
    <mergeCell ref="A19:B19"/>
    <mergeCell ref="A35:Q35"/>
    <mergeCell ref="A39:A40"/>
    <mergeCell ref="C37:G37"/>
    <mergeCell ref="M19:Q19"/>
    <mergeCell ref="C3:G3"/>
    <mergeCell ref="M37:Q37"/>
    <mergeCell ref="M36:Q36"/>
    <mergeCell ref="H37:L37"/>
    <mergeCell ref="M3:Q3"/>
    <mergeCell ref="H20:L20"/>
    <mergeCell ref="A38:B38"/>
    <mergeCell ref="A36:B36"/>
    <mergeCell ref="A4:B4"/>
    <mergeCell ref="A7:A8"/>
    <mergeCell ref="A37:B37"/>
    <mergeCell ref="A20:B20"/>
    <mergeCell ref="A43:A44"/>
    <mergeCell ref="A41:A42"/>
  </mergeCell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302FD-6248-4D9D-AC3A-61AE89F7747C}">
  <dimension ref="A1:V42"/>
  <sheetViews>
    <sheetView workbookViewId="0">
      <selection activeCell="I5" sqref="I5"/>
    </sheetView>
  </sheetViews>
  <sheetFormatPr defaultColWidth="9" defaultRowHeight="14.4"/>
  <cols>
    <col min="1" max="1" width="27" style="193" customWidth="1"/>
    <col min="2" max="2" width="22.44140625" style="193" customWidth="1"/>
    <col min="3" max="7" width="9" style="193" hidden="1" customWidth="1"/>
    <col min="8" max="12" width="9" style="193"/>
    <col min="13" max="17" width="9" style="193" hidden="1" customWidth="1"/>
    <col min="18" max="16384" width="9" style="193"/>
  </cols>
  <sheetData>
    <row r="1" spans="1:22" ht="18" thickBot="1">
      <c r="A1" s="232" t="s">
        <v>371</v>
      </c>
      <c r="B1" s="232"/>
      <c r="C1" s="232"/>
      <c r="D1" s="232"/>
      <c r="E1" s="232"/>
      <c r="F1" s="232"/>
      <c r="G1" s="232"/>
      <c r="H1" s="232"/>
      <c r="I1" s="232"/>
      <c r="J1" s="232"/>
      <c r="K1" s="232"/>
      <c r="L1" s="232"/>
      <c r="M1" s="232"/>
      <c r="N1" s="232"/>
      <c r="O1" s="232"/>
      <c r="P1" s="232"/>
      <c r="Q1" s="232"/>
    </row>
    <row r="2" spans="1:22" ht="16.2" thickBot="1">
      <c r="A2" s="227" t="s">
        <v>368</v>
      </c>
      <c r="B2" s="227"/>
      <c r="C2" s="231" t="s">
        <v>367</v>
      </c>
      <c r="D2" s="231"/>
      <c r="E2" s="231"/>
      <c r="F2" s="231"/>
      <c r="G2" s="231"/>
      <c r="H2" s="228" t="s">
        <v>366</v>
      </c>
      <c r="I2" s="228"/>
      <c r="J2" s="228"/>
      <c r="K2" s="228"/>
      <c r="L2" s="228"/>
      <c r="M2" s="230" t="s">
        <v>365</v>
      </c>
      <c r="N2" s="230"/>
      <c r="O2" s="230"/>
      <c r="P2" s="230"/>
      <c r="Q2" s="229"/>
      <c r="R2" s="228" t="s">
        <v>364</v>
      </c>
      <c r="S2" s="228"/>
      <c r="T2" s="228"/>
      <c r="U2" s="228"/>
      <c r="V2" s="228"/>
    </row>
    <row r="3" spans="1:22" ht="16.2" thickBot="1">
      <c r="A3" s="227" t="s">
        <v>118</v>
      </c>
      <c r="B3" s="227"/>
      <c r="C3" s="226" t="s">
        <v>119</v>
      </c>
      <c r="D3" s="226" t="s">
        <v>120</v>
      </c>
      <c r="E3" s="226" t="s">
        <v>121</v>
      </c>
      <c r="F3" s="226" t="s">
        <v>122</v>
      </c>
      <c r="G3" s="226" t="s">
        <v>123</v>
      </c>
      <c r="H3" s="224" t="s">
        <v>119</v>
      </c>
      <c r="I3" s="224" t="s">
        <v>120</v>
      </c>
      <c r="J3" s="224" t="s">
        <v>121</v>
      </c>
      <c r="K3" s="224" t="s">
        <v>122</v>
      </c>
      <c r="L3" s="224" t="s">
        <v>123</v>
      </c>
      <c r="M3" s="225" t="s">
        <v>119</v>
      </c>
      <c r="N3" s="225" t="s">
        <v>120</v>
      </c>
      <c r="O3" s="225" t="s">
        <v>121</v>
      </c>
      <c r="P3" s="225" t="s">
        <v>122</v>
      </c>
      <c r="Q3" s="225" t="s">
        <v>123</v>
      </c>
      <c r="R3" s="224" t="s">
        <v>119</v>
      </c>
      <c r="S3" s="224" t="s">
        <v>120</v>
      </c>
      <c r="T3" s="224" t="s">
        <v>121</v>
      </c>
      <c r="U3" s="224" t="s">
        <v>122</v>
      </c>
      <c r="V3" s="224" t="s">
        <v>123</v>
      </c>
    </row>
    <row r="4" spans="1:22" ht="31.8" thickBot="1">
      <c r="A4" s="223" t="s">
        <v>124</v>
      </c>
      <c r="B4" s="222" t="s">
        <v>125</v>
      </c>
      <c r="C4" s="211"/>
      <c r="D4" s="211"/>
      <c r="E4" s="211"/>
      <c r="F4" s="211"/>
      <c r="G4" s="217"/>
      <c r="H4" s="214"/>
      <c r="I4" s="214"/>
      <c r="J4" s="214"/>
      <c r="K4" s="214"/>
      <c r="L4" s="214"/>
      <c r="M4" s="233"/>
      <c r="N4" s="233"/>
      <c r="O4" s="233"/>
      <c r="P4" s="233"/>
      <c r="Q4" s="233"/>
      <c r="R4" s="214"/>
      <c r="S4" s="214"/>
      <c r="T4" s="214"/>
      <c r="U4" s="214"/>
      <c r="V4" s="214"/>
    </row>
    <row r="5" spans="1:22" ht="43.95" customHeight="1" thickBot="1">
      <c r="A5" s="223"/>
      <c r="B5" s="222" t="s">
        <v>126</v>
      </c>
      <c r="C5" s="211"/>
      <c r="D5" s="211"/>
      <c r="E5" s="211"/>
      <c r="F5" s="211"/>
      <c r="G5" s="217"/>
      <c r="H5" s="214"/>
      <c r="I5" s="214"/>
      <c r="J5" s="214"/>
      <c r="K5" s="214"/>
      <c r="L5" s="214"/>
      <c r="M5" s="233"/>
      <c r="N5" s="233"/>
      <c r="O5" s="233"/>
      <c r="P5" s="233"/>
      <c r="Q5" s="233"/>
      <c r="R5" s="214"/>
      <c r="S5" s="214"/>
      <c r="T5" s="214"/>
      <c r="U5" s="214"/>
      <c r="V5" s="214"/>
    </row>
    <row r="6" spans="1:22" ht="31.8" hidden="1" thickBot="1">
      <c r="A6" s="213" t="s">
        <v>127</v>
      </c>
      <c r="B6" s="222" t="s">
        <v>128</v>
      </c>
      <c r="C6" s="217"/>
      <c r="D6" s="217"/>
      <c r="E6" s="217"/>
      <c r="F6" s="217"/>
      <c r="G6" s="217"/>
      <c r="H6" s="214"/>
      <c r="I6" s="214"/>
      <c r="J6" s="214"/>
      <c r="K6" s="214"/>
      <c r="L6" s="214"/>
      <c r="M6" s="238"/>
      <c r="N6" s="238"/>
      <c r="O6" s="238"/>
      <c r="P6" s="238"/>
      <c r="Q6" s="238"/>
      <c r="R6" s="214"/>
      <c r="S6" s="214"/>
      <c r="T6" s="214"/>
      <c r="U6" s="214"/>
      <c r="V6" s="214"/>
    </row>
    <row r="7" spans="1:22" ht="36" customHeight="1" thickBot="1">
      <c r="A7" s="223" t="s">
        <v>130</v>
      </c>
      <c r="B7" s="222" t="s">
        <v>129</v>
      </c>
      <c r="C7" s="217"/>
      <c r="D7" s="217"/>
      <c r="E7" s="217"/>
      <c r="F7" s="217"/>
      <c r="G7" s="217"/>
      <c r="H7" s="214"/>
      <c r="I7" s="214"/>
      <c r="J7" s="214"/>
      <c r="K7" s="214"/>
      <c r="L7" s="214"/>
      <c r="M7" s="238"/>
      <c r="N7" s="238"/>
      <c r="O7" s="238"/>
      <c r="P7" s="238"/>
      <c r="Q7" s="238"/>
      <c r="R7" s="214"/>
      <c r="S7" s="214"/>
      <c r="T7" s="214"/>
      <c r="U7" s="214"/>
      <c r="V7" s="214"/>
    </row>
    <row r="8" spans="1:22" ht="31.8" thickBot="1">
      <c r="A8" s="223"/>
      <c r="B8" s="222" t="s">
        <v>128</v>
      </c>
      <c r="C8" s="217"/>
      <c r="D8" s="217"/>
      <c r="E8" s="217"/>
      <c r="F8" s="217"/>
      <c r="G8" s="217"/>
      <c r="H8" s="214"/>
      <c r="I8" s="214"/>
      <c r="J8" s="214"/>
      <c r="K8" s="214"/>
      <c r="L8" s="214"/>
      <c r="M8" s="241"/>
      <c r="N8" s="240"/>
      <c r="O8" s="238"/>
      <c r="P8" s="238"/>
      <c r="Q8" s="238"/>
      <c r="R8" s="214"/>
      <c r="S8" s="214"/>
      <c r="T8" s="214"/>
      <c r="U8" s="214"/>
      <c r="V8" s="214"/>
    </row>
    <row r="9" spans="1:22" ht="94.2" customHeight="1" thickBot="1">
      <c r="A9" s="213" t="s">
        <v>363</v>
      </c>
      <c r="B9" s="222"/>
      <c r="C9" s="217"/>
      <c r="D9" s="217"/>
      <c r="E9" s="217"/>
      <c r="F9" s="217"/>
      <c r="G9" s="217"/>
      <c r="H9" s="214"/>
      <c r="I9" s="214"/>
      <c r="J9" s="214"/>
      <c r="K9" s="214"/>
      <c r="L9" s="214"/>
      <c r="M9" s="239"/>
      <c r="N9" s="238"/>
      <c r="O9" s="238"/>
      <c r="P9" s="238"/>
      <c r="Q9" s="238"/>
      <c r="R9" s="214"/>
      <c r="S9" s="214"/>
      <c r="T9" s="214"/>
      <c r="U9" s="214"/>
      <c r="V9" s="214"/>
    </row>
    <row r="10" spans="1:22" ht="46.8">
      <c r="A10" s="213" t="s">
        <v>362</v>
      </c>
      <c r="B10" s="212"/>
      <c r="C10" s="217"/>
      <c r="D10" s="217"/>
      <c r="E10" s="217"/>
      <c r="F10" s="217"/>
      <c r="G10" s="217"/>
      <c r="H10" s="214"/>
      <c r="I10" s="214"/>
      <c r="J10" s="214"/>
      <c r="K10" s="214"/>
      <c r="L10" s="214"/>
      <c r="M10" s="237"/>
      <c r="N10" s="236"/>
      <c r="O10" s="236"/>
      <c r="P10" s="236"/>
      <c r="Q10" s="236"/>
      <c r="R10" s="214"/>
      <c r="S10" s="214"/>
      <c r="T10" s="214"/>
      <c r="U10" s="214"/>
      <c r="V10" s="214"/>
    </row>
    <row r="11" spans="1:22" ht="47.4" thickBot="1">
      <c r="A11" s="213" t="s">
        <v>133</v>
      </c>
      <c r="B11" s="212"/>
      <c r="C11" s="211"/>
      <c r="D11" s="211"/>
      <c r="E11" s="211"/>
      <c r="F11" s="211"/>
      <c r="G11" s="211"/>
      <c r="H11" s="214"/>
      <c r="I11" s="214"/>
      <c r="J11" s="214"/>
      <c r="K11" s="214"/>
      <c r="L11" s="214"/>
      <c r="M11" s="233"/>
      <c r="N11" s="233"/>
      <c r="O11" s="233"/>
      <c r="P11" s="233"/>
      <c r="Q11" s="233"/>
      <c r="R11" s="214">
        <f>'[2]Структура пр 2 '!I10</f>
        <v>0</v>
      </c>
      <c r="S11" s="214">
        <f>'[2]Структура пр 2 '!X10</f>
        <v>0</v>
      </c>
      <c r="T11" s="214">
        <f>'[2]Структура пр 2 '!AM10</f>
        <v>0</v>
      </c>
      <c r="U11" s="214">
        <f>'[2]Структура пр 2 '!BB10</f>
        <v>0</v>
      </c>
      <c r="V11" s="214">
        <f>U11+T11+S11+R11</f>
        <v>0</v>
      </c>
    </row>
    <row r="12" spans="1:22" ht="31.8" thickBot="1">
      <c r="A12" s="213" t="s">
        <v>107</v>
      </c>
      <c r="B12" s="212"/>
      <c r="C12" s="211"/>
      <c r="D12" s="211"/>
      <c r="E12" s="211"/>
      <c r="F12" s="211"/>
      <c r="G12" s="211"/>
      <c r="H12" s="214"/>
      <c r="I12" s="214"/>
      <c r="J12" s="214"/>
      <c r="K12" s="214"/>
      <c r="L12" s="214"/>
      <c r="M12" s="233"/>
      <c r="N12" s="233"/>
      <c r="O12" s="235"/>
      <c r="P12" s="234"/>
      <c r="Q12" s="233"/>
      <c r="R12" s="214"/>
      <c r="S12" s="214"/>
      <c r="T12" s="214"/>
      <c r="U12" s="214"/>
      <c r="V12" s="214"/>
    </row>
    <row r="16" spans="1:22" ht="18" thickBot="1">
      <c r="A16" s="232" t="s">
        <v>370</v>
      </c>
      <c r="B16" s="232"/>
      <c r="C16" s="232"/>
      <c r="D16" s="232"/>
      <c r="E16" s="232"/>
      <c r="F16" s="232"/>
      <c r="G16" s="232"/>
      <c r="H16" s="232"/>
      <c r="I16" s="232"/>
      <c r="J16" s="232"/>
      <c r="K16" s="232"/>
      <c r="L16" s="232"/>
      <c r="M16" s="232"/>
      <c r="N16" s="232"/>
      <c r="O16" s="232"/>
      <c r="P16" s="232"/>
      <c r="Q16" s="232"/>
    </row>
    <row r="17" spans="1:22" ht="16.2" thickBot="1">
      <c r="A17" s="227" t="s">
        <v>368</v>
      </c>
      <c r="B17" s="227"/>
      <c r="C17" s="231" t="s">
        <v>367</v>
      </c>
      <c r="D17" s="231"/>
      <c r="E17" s="231"/>
      <c r="F17" s="231"/>
      <c r="G17" s="231"/>
      <c r="H17" s="228" t="s">
        <v>366</v>
      </c>
      <c r="I17" s="228"/>
      <c r="J17" s="228"/>
      <c r="K17" s="228"/>
      <c r="L17" s="228"/>
      <c r="M17" s="230" t="s">
        <v>365</v>
      </c>
      <c r="N17" s="230"/>
      <c r="O17" s="230"/>
      <c r="P17" s="230"/>
      <c r="Q17" s="229"/>
      <c r="R17" s="228" t="s">
        <v>364</v>
      </c>
      <c r="S17" s="228"/>
      <c r="T17" s="228"/>
      <c r="U17" s="228"/>
      <c r="V17" s="228"/>
    </row>
    <row r="18" spans="1:22" ht="16.2" thickBot="1">
      <c r="A18" s="227" t="s">
        <v>118</v>
      </c>
      <c r="B18" s="227"/>
      <c r="C18" s="226" t="s">
        <v>119</v>
      </c>
      <c r="D18" s="226" t="s">
        <v>120</v>
      </c>
      <c r="E18" s="226" t="s">
        <v>121</v>
      </c>
      <c r="F18" s="226" t="s">
        <v>122</v>
      </c>
      <c r="G18" s="226" t="s">
        <v>123</v>
      </c>
      <c r="H18" s="224" t="s">
        <v>119</v>
      </c>
      <c r="I18" s="224" t="s">
        <v>120</v>
      </c>
      <c r="J18" s="224" t="s">
        <v>121</v>
      </c>
      <c r="K18" s="224" t="s">
        <v>122</v>
      </c>
      <c r="L18" s="224" t="s">
        <v>123</v>
      </c>
      <c r="M18" s="225" t="s">
        <v>119</v>
      </c>
      <c r="N18" s="225" t="s">
        <v>120</v>
      </c>
      <c r="O18" s="225" t="s">
        <v>121</v>
      </c>
      <c r="P18" s="225" t="s">
        <v>122</v>
      </c>
      <c r="Q18" s="225" t="s">
        <v>123</v>
      </c>
      <c r="R18" s="224" t="s">
        <v>119</v>
      </c>
      <c r="S18" s="224" t="s">
        <v>120</v>
      </c>
      <c r="T18" s="224" t="s">
        <v>121</v>
      </c>
      <c r="U18" s="224" t="s">
        <v>122</v>
      </c>
      <c r="V18" s="224" t="s">
        <v>123</v>
      </c>
    </row>
    <row r="19" spans="1:22" ht="31.8" thickBot="1">
      <c r="A19" s="223" t="s">
        <v>124</v>
      </c>
      <c r="B19" s="222" t="s">
        <v>125</v>
      </c>
      <c r="C19" s="211"/>
      <c r="D19" s="211"/>
      <c r="E19" s="211"/>
      <c r="F19" s="211"/>
      <c r="G19" s="217"/>
      <c r="H19" s="207"/>
      <c r="I19" s="207"/>
      <c r="J19" s="207"/>
      <c r="K19" s="207"/>
      <c r="L19" s="207"/>
      <c r="M19" s="208"/>
      <c r="N19" s="208"/>
      <c r="O19" s="208"/>
      <c r="P19" s="208"/>
      <c r="Q19" s="208"/>
      <c r="R19" s="207"/>
      <c r="S19" s="207"/>
      <c r="T19" s="207"/>
      <c r="U19" s="207"/>
      <c r="V19" s="207"/>
    </row>
    <row r="20" spans="1:22" ht="31.8" thickBot="1">
      <c r="A20" s="223"/>
      <c r="B20" s="222" t="s">
        <v>126</v>
      </c>
      <c r="C20" s="211"/>
      <c r="D20" s="211"/>
      <c r="E20" s="211"/>
      <c r="F20" s="211"/>
      <c r="G20" s="217"/>
      <c r="H20" s="207"/>
      <c r="I20" s="207"/>
      <c r="J20" s="207"/>
      <c r="K20" s="207"/>
      <c r="L20" s="207"/>
      <c r="M20" s="208"/>
      <c r="N20" s="208"/>
      <c r="O20" s="208"/>
      <c r="P20" s="208"/>
      <c r="Q20" s="208"/>
      <c r="R20" s="207"/>
      <c r="S20" s="207"/>
      <c r="T20" s="207"/>
      <c r="U20" s="207"/>
      <c r="V20" s="207"/>
    </row>
    <row r="21" spans="1:22" ht="31.8" thickBot="1">
      <c r="A21" s="213" t="s">
        <v>127</v>
      </c>
      <c r="B21" s="222" t="s">
        <v>128</v>
      </c>
      <c r="C21" s="217"/>
      <c r="D21" s="217"/>
      <c r="E21" s="217"/>
      <c r="F21" s="217"/>
      <c r="G21" s="217"/>
      <c r="H21" s="207"/>
      <c r="I21" s="207"/>
      <c r="J21" s="207"/>
      <c r="K21" s="207"/>
      <c r="L21" s="207"/>
      <c r="M21" s="218"/>
      <c r="N21" s="218"/>
      <c r="O21" s="218"/>
      <c r="P21" s="218"/>
      <c r="Q21" s="218"/>
      <c r="R21" s="207"/>
      <c r="S21" s="207"/>
      <c r="T21" s="207"/>
      <c r="U21" s="207"/>
      <c r="V21" s="207"/>
    </row>
    <row r="22" spans="1:22" ht="31.8" thickBot="1">
      <c r="A22" s="223" t="s">
        <v>130</v>
      </c>
      <c r="B22" s="222" t="s">
        <v>129</v>
      </c>
      <c r="C22" s="217"/>
      <c r="D22" s="217"/>
      <c r="E22" s="217"/>
      <c r="F22" s="217"/>
      <c r="G22" s="217"/>
      <c r="H22" s="207"/>
      <c r="I22" s="207"/>
      <c r="J22" s="207"/>
      <c r="K22" s="207"/>
      <c r="L22" s="207"/>
      <c r="M22" s="218"/>
      <c r="N22" s="218"/>
      <c r="O22" s="218"/>
      <c r="P22" s="218"/>
      <c r="Q22" s="218"/>
      <c r="R22" s="207"/>
      <c r="S22" s="207"/>
      <c r="T22" s="207"/>
      <c r="U22" s="207"/>
      <c r="V22" s="207"/>
    </row>
    <row r="23" spans="1:22" ht="31.8" thickBot="1">
      <c r="A23" s="223"/>
      <c r="B23" s="222" t="s">
        <v>128</v>
      </c>
      <c r="C23" s="217"/>
      <c r="D23" s="217"/>
      <c r="E23" s="217"/>
      <c r="F23" s="217"/>
      <c r="G23" s="217"/>
      <c r="H23" s="207"/>
      <c r="I23" s="207"/>
      <c r="J23" s="207"/>
      <c r="K23" s="207"/>
      <c r="L23" s="207"/>
      <c r="M23" s="221"/>
      <c r="N23" s="220"/>
      <c r="O23" s="218"/>
      <c r="P23" s="218"/>
      <c r="Q23" s="218"/>
      <c r="R23" s="207"/>
      <c r="S23" s="207"/>
      <c r="T23" s="207"/>
      <c r="U23" s="207"/>
      <c r="V23" s="207"/>
    </row>
    <row r="24" spans="1:22" ht="125.4" thickBot="1">
      <c r="A24" s="213" t="s">
        <v>363</v>
      </c>
      <c r="B24" s="212"/>
      <c r="C24" s="217"/>
      <c r="D24" s="217"/>
      <c r="E24" s="217"/>
      <c r="F24" s="217"/>
      <c r="G24" s="217"/>
      <c r="H24" s="207"/>
      <c r="I24" s="207"/>
      <c r="J24" s="207"/>
      <c r="K24" s="207"/>
      <c r="L24" s="207"/>
      <c r="M24" s="219"/>
      <c r="N24" s="218"/>
      <c r="O24" s="218"/>
      <c r="P24" s="218"/>
      <c r="Q24" s="218"/>
      <c r="R24" s="207"/>
      <c r="S24" s="207"/>
      <c r="T24" s="207"/>
      <c r="U24" s="207"/>
      <c r="V24" s="207"/>
    </row>
    <row r="25" spans="1:22" ht="46.8">
      <c r="A25" s="213" t="s">
        <v>362</v>
      </c>
      <c r="B25" s="212"/>
      <c r="C25" s="217"/>
      <c r="D25" s="217"/>
      <c r="E25" s="217"/>
      <c r="F25" s="217"/>
      <c r="G25" s="217"/>
      <c r="H25" s="207"/>
      <c r="I25" s="207"/>
      <c r="J25" s="207"/>
      <c r="K25" s="207"/>
      <c r="L25" s="207"/>
      <c r="M25" s="216"/>
      <c r="N25" s="215"/>
      <c r="O25" s="215"/>
      <c r="P25" s="215"/>
      <c r="Q25" s="215"/>
      <c r="T25" s="207"/>
      <c r="U25" s="207"/>
      <c r="V25" s="207"/>
    </row>
    <row r="26" spans="1:22" ht="47.4" thickBot="1">
      <c r="A26" s="213" t="s">
        <v>133</v>
      </c>
      <c r="B26" s="212"/>
      <c r="C26" s="211"/>
      <c r="D26" s="211"/>
      <c r="E26" s="211"/>
      <c r="F26" s="211"/>
      <c r="G26" s="211"/>
      <c r="H26" s="207"/>
      <c r="I26" s="207"/>
      <c r="J26" s="207"/>
      <c r="K26" s="207"/>
      <c r="L26" s="207"/>
      <c r="M26" s="208"/>
      <c r="N26" s="208"/>
      <c r="O26" s="208"/>
      <c r="P26" s="208"/>
      <c r="Q26" s="208"/>
      <c r="R26" s="214">
        <f>'[2]Структура пр 2 '!I26</f>
        <v>0</v>
      </c>
      <c r="S26" s="214">
        <f>'[2]Структура пр 2 '!X26</f>
        <v>0</v>
      </c>
      <c r="T26" s="214">
        <f>'[2]Структура пр 2 '!AM26</f>
        <v>0</v>
      </c>
      <c r="U26" s="214">
        <f>'[2]Структура пр 2 '!BB26</f>
        <v>0</v>
      </c>
      <c r="V26" s="214">
        <f>U26+T26+S26+R26</f>
        <v>0</v>
      </c>
    </row>
    <row r="27" spans="1:22" ht="31.8" thickBot="1">
      <c r="A27" s="213" t="s">
        <v>107</v>
      </c>
      <c r="B27" s="212"/>
      <c r="C27" s="211"/>
      <c r="D27" s="211"/>
      <c r="E27" s="211"/>
      <c r="F27" s="211"/>
      <c r="G27" s="211"/>
      <c r="H27" s="207"/>
      <c r="I27" s="207"/>
      <c r="J27" s="207"/>
      <c r="K27" s="207"/>
      <c r="L27" s="207"/>
      <c r="M27" s="208"/>
      <c r="N27" s="208"/>
      <c r="O27" s="210"/>
      <c r="P27" s="209"/>
      <c r="Q27" s="208"/>
      <c r="R27" s="207"/>
      <c r="S27" s="207"/>
      <c r="T27" s="207"/>
      <c r="U27" s="207"/>
      <c r="V27" s="207"/>
    </row>
    <row r="31" spans="1:22" ht="18" thickBot="1">
      <c r="A31" s="232" t="s">
        <v>369</v>
      </c>
      <c r="B31" s="232"/>
      <c r="C31" s="232"/>
      <c r="D31" s="232"/>
      <c r="E31" s="232"/>
      <c r="F31" s="232"/>
      <c r="G31" s="232"/>
      <c r="H31" s="232"/>
      <c r="I31" s="232"/>
      <c r="J31" s="232"/>
      <c r="K31" s="232"/>
      <c r="L31" s="232"/>
      <c r="M31" s="232"/>
      <c r="N31" s="232"/>
      <c r="O31" s="232"/>
      <c r="P31" s="232"/>
      <c r="Q31" s="232"/>
    </row>
    <row r="32" spans="1:22" ht="16.2" thickBot="1">
      <c r="A32" s="227" t="s">
        <v>368</v>
      </c>
      <c r="B32" s="227"/>
      <c r="C32" s="231" t="s">
        <v>367</v>
      </c>
      <c r="D32" s="231"/>
      <c r="E32" s="231"/>
      <c r="F32" s="231"/>
      <c r="G32" s="231"/>
      <c r="H32" s="228" t="s">
        <v>366</v>
      </c>
      <c r="I32" s="228"/>
      <c r="J32" s="228"/>
      <c r="K32" s="228"/>
      <c r="L32" s="228"/>
      <c r="M32" s="230" t="s">
        <v>365</v>
      </c>
      <c r="N32" s="230"/>
      <c r="O32" s="230"/>
      <c r="P32" s="230"/>
      <c r="Q32" s="229"/>
      <c r="R32" s="228" t="s">
        <v>364</v>
      </c>
      <c r="S32" s="228"/>
      <c r="T32" s="228"/>
      <c r="U32" s="228"/>
      <c r="V32" s="228"/>
    </row>
    <row r="33" spans="1:22" ht="16.2" thickBot="1">
      <c r="A33" s="227" t="s">
        <v>118</v>
      </c>
      <c r="B33" s="227"/>
      <c r="C33" s="226" t="s">
        <v>119</v>
      </c>
      <c r="D33" s="226" t="s">
        <v>120</v>
      </c>
      <c r="E33" s="226" t="s">
        <v>121</v>
      </c>
      <c r="F33" s="226" t="s">
        <v>122</v>
      </c>
      <c r="G33" s="226" t="s">
        <v>123</v>
      </c>
      <c r="H33" s="224" t="s">
        <v>119</v>
      </c>
      <c r="I33" s="224" t="s">
        <v>120</v>
      </c>
      <c r="J33" s="224" t="s">
        <v>121</v>
      </c>
      <c r="K33" s="224" t="s">
        <v>122</v>
      </c>
      <c r="L33" s="224" t="s">
        <v>123</v>
      </c>
      <c r="M33" s="225" t="s">
        <v>119</v>
      </c>
      <c r="N33" s="225" t="s">
        <v>120</v>
      </c>
      <c r="O33" s="225" t="s">
        <v>121</v>
      </c>
      <c r="P33" s="225" t="s">
        <v>122</v>
      </c>
      <c r="Q33" s="225" t="s">
        <v>123</v>
      </c>
      <c r="R33" s="224" t="s">
        <v>119</v>
      </c>
      <c r="S33" s="224" t="s">
        <v>120</v>
      </c>
      <c r="T33" s="224" t="s">
        <v>121</v>
      </c>
      <c r="U33" s="224" t="s">
        <v>122</v>
      </c>
      <c r="V33" s="224" t="s">
        <v>123</v>
      </c>
    </row>
    <row r="34" spans="1:22" ht="31.8" thickBot="1">
      <c r="A34" s="223" t="s">
        <v>124</v>
      </c>
      <c r="B34" s="222" t="s">
        <v>125</v>
      </c>
      <c r="C34" s="211"/>
      <c r="D34" s="211"/>
      <c r="E34" s="211"/>
      <c r="F34" s="211"/>
      <c r="G34" s="217"/>
      <c r="H34" s="207"/>
      <c r="I34" s="207"/>
      <c r="J34" s="207"/>
      <c r="K34" s="207"/>
      <c r="L34" s="207"/>
      <c r="M34" s="208"/>
      <c r="N34" s="208"/>
      <c r="O34" s="208"/>
      <c r="P34" s="208"/>
      <c r="Q34" s="208"/>
      <c r="R34" s="207"/>
      <c r="S34" s="207"/>
      <c r="T34" s="207"/>
      <c r="U34" s="207"/>
      <c r="V34" s="207"/>
    </row>
    <row r="35" spans="1:22" ht="31.8" thickBot="1">
      <c r="A35" s="223"/>
      <c r="B35" s="222" t="s">
        <v>126</v>
      </c>
      <c r="C35" s="211"/>
      <c r="D35" s="211"/>
      <c r="E35" s="211"/>
      <c r="F35" s="211"/>
      <c r="G35" s="217"/>
      <c r="H35" s="207"/>
      <c r="I35" s="207"/>
      <c r="J35" s="207"/>
      <c r="K35" s="207"/>
      <c r="L35" s="207"/>
      <c r="M35" s="208"/>
      <c r="N35" s="208"/>
      <c r="O35" s="208"/>
      <c r="P35" s="208"/>
      <c r="Q35" s="208"/>
      <c r="R35" s="207"/>
      <c r="S35" s="207"/>
      <c r="T35" s="207"/>
      <c r="U35" s="207"/>
      <c r="V35" s="207"/>
    </row>
    <row r="36" spans="1:22" ht="31.8" thickBot="1">
      <c r="A36" s="213" t="s">
        <v>127</v>
      </c>
      <c r="B36" s="222" t="s">
        <v>128</v>
      </c>
      <c r="C36" s="217"/>
      <c r="D36" s="217"/>
      <c r="E36" s="217"/>
      <c r="F36" s="217"/>
      <c r="G36" s="217"/>
      <c r="H36" s="207"/>
      <c r="I36" s="207"/>
      <c r="J36" s="207"/>
      <c r="K36" s="207"/>
      <c r="L36" s="207"/>
      <c r="M36" s="218"/>
      <c r="N36" s="218"/>
      <c r="O36" s="218"/>
      <c r="P36" s="218"/>
      <c r="Q36" s="218"/>
      <c r="R36" s="207"/>
      <c r="S36" s="207"/>
      <c r="T36" s="207"/>
      <c r="U36" s="207"/>
      <c r="V36" s="207"/>
    </row>
    <row r="37" spans="1:22" ht="31.8" thickBot="1">
      <c r="A37" s="223" t="s">
        <v>130</v>
      </c>
      <c r="B37" s="222" t="s">
        <v>129</v>
      </c>
      <c r="C37" s="217"/>
      <c r="D37" s="217"/>
      <c r="E37" s="217"/>
      <c r="F37" s="217"/>
      <c r="G37" s="217"/>
      <c r="H37" s="207"/>
      <c r="I37" s="207"/>
      <c r="J37" s="207"/>
      <c r="K37" s="207"/>
      <c r="L37" s="207"/>
      <c r="M37" s="218"/>
      <c r="N37" s="218"/>
      <c r="O37" s="218"/>
      <c r="P37" s="218"/>
      <c r="Q37" s="218"/>
      <c r="R37" s="207"/>
      <c r="S37" s="207"/>
      <c r="T37" s="207"/>
      <c r="U37" s="207"/>
      <c r="V37" s="207"/>
    </row>
    <row r="38" spans="1:22" ht="31.8" thickBot="1">
      <c r="A38" s="223"/>
      <c r="B38" s="222" t="s">
        <v>128</v>
      </c>
      <c r="C38" s="217"/>
      <c r="D38" s="217"/>
      <c r="E38" s="217"/>
      <c r="F38" s="217"/>
      <c r="G38" s="217"/>
      <c r="H38" s="207"/>
      <c r="I38" s="207"/>
      <c r="J38" s="207"/>
      <c r="K38" s="207"/>
      <c r="L38" s="207"/>
      <c r="M38" s="221"/>
      <c r="N38" s="220"/>
      <c r="O38" s="218"/>
      <c r="P38" s="218"/>
      <c r="Q38" s="218"/>
      <c r="R38" s="207"/>
      <c r="S38" s="207"/>
      <c r="T38" s="207"/>
      <c r="U38" s="207"/>
      <c r="V38" s="207"/>
    </row>
    <row r="39" spans="1:22" ht="125.4" thickBot="1">
      <c r="A39" s="213" t="s">
        <v>363</v>
      </c>
      <c r="B39" s="212"/>
      <c r="C39" s="217"/>
      <c r="D39" s="217"/>
      <c r="E39" s="217"/>
      <c r="F39" s="217"/>
      <c r="G39" s="217"/>
      <c r="H39" s="207"/>
      <c r="I39" s="207"/>
      <c r="J39" s="207"/>
      <c r="K39" s="207"/>
      <c r="L39" s="207"/>
      <c r="M39" s="219"/>
      <c r="N39" s="218"/>
      <c r="O39" s="218"/>
      <c r="P39" s="218"/>
      <c r="Q39" s="218"/>
      <c r="R39" s="207"/>
      <c r="S39" s="207"/>
      <c r="T39" s="207"/>
      <c r="U39" s="207"/>
      <c r="V39" s="207"/>
    </row>
    <row r="40" spans="1:22" ht="46.8">
      <c r="A40" s="213" t="s">
        <v>362</v>
      </c>
      <c r="B40" s="212"/>
      <c r="C40" s="217"/>
      <c r="D40" s="217"/>
      <c r="E40" s="217"/>
      <c r="F40" s="217"/>
      <c r="G40" s="217"/>
      <c r="H40" s="207"/>
      <c r="I40" s="207"/>
      <c r="J40" s="207"/>
      <c r="K40" s="207"/>
      <c r="L40" s="207"/>
      <c r="M40" s="216"/>
      <c r="N40" s="215"/>
      <c r="O40" s="215"/>
      <c r="P40" s="215"/>
      <c r="Q40" s="215"/>
      <c r="R40" s="207"/>
      <c r="S40" s="207"/>
      <c r="T40" s="207"/>
      <c r="U40" s="207"/>
      <c r="V40" s="207"/>
    </row>
    <row r="41" spans="1:22" ht="47.4" thickBot="1">
      <c r="A41" s="213" t="s">
        <v>133</v>
      </c>
      <c r="B41" s="212"/>
      <c r="C41" s="211"/>
      <c r="D41" s="211"/>
      <c r="E41" s="211"/>
      <c r="F41" s="211"/>
      <c r="G41" s="211"/>
      <c r="H41" s="207"/>
      <c r="I41" s="207"/>
      <c r="J41" s="207"/>
      <c r="K41" s="207"/>
      <c r="L41" s="207"/>
      <c r="M41" s="208"/>
      <c r="N41" s="208"/>
      <c r="O41" s="208"/>
      <c r="P41" s="208"/>
      <c r="Q41" s="208"/>
      <c r="R41" s="207">
        <f>'[2]Структура пр 2 '!I42</f>
        <v>0</v>
      </c>
      <c r="S41" s="207">
        <f>'[2]Структура пр 2 '!X42</f>
        <v>0</v>
      </c>
      <c r="T41" s="207">
        <f>'[2]Структура пр 2 '!AM42</f>
        <v>0</v>
      </c>
      <c r="U41" s="207">
        <f>'[2]Структура пр 2 '!BB42</f>
        <v>0</v>
      </c>
      <c r="V41" s="214">
        <f>U41+T41+S41+R41</f>
        <v>0</v>
      </c>
    </row>
    <row r="42" spans="1:22" ht="31.8" thickBot="1">
      <c r="A42" s="213" t="s">
        <v>107</v>
      </c>
      <c r="B42" s="212"/>
      <c r="C42" s="211"/>
      <c r="D42" s="211"/>
      <c r="E42" s="211"/>
      <c r="F42" s="211"/>
      <c r="G42" s="211"/>
      <c r="H42" s="207"/>
      <c r="I42" s="207"/>
      <c r="J42" s="207"/>
      <c r="K42" s="207"/>
      <c r="L42" s="207"/>
      <c r="M42" s="208"/>
      <c r="N42" s="208"/>
      <c r="O42" s="210"/>
      <c r="P42" s="209"/>
      <c r="Q42" s="208"/>
      <c r="R42" s="207"/>
      <c r="S42" s="207"/>
      <c r="T42" s="207"/>
      <c r="U42" s="207"/>
      <c r="V42" s="207"/>
    </row>
  </sheetData>
  <mergeCells count="27">
    <mergeCell ref="M17:Q17"/>
    <mergeCell ref="R17:V17"/>
    <mergeCell ref="A1:Q1"/>
    <mergeCell ref="A2:B2"/>
    <mergeCell ref="C2:G2"/>
    <mergeCell ref="H2:L2"/>
    <mergeCell ref="M2:Q2"/>
    <mergeCell ref="A32:B32"/>
    <mergeCell ref="C32:G32"/>
    <mergeCell ref="H32:L32"/>
    <mergeCell ref="M32:Q32"/>
    <mergeCell ref="R2:V2"/>
    <mergeCell ref="A3:B3"/>
    <mergeCell ref="A16:Q16"/>
    <mergeCell ref="A17:B17"/>
    <mergeCell ref="C17:G17"/>
    <mergeCell ref="H17:L17"/>
    <mergeCell ref="A34:A35"/>
    <mergeCell ref="A37:A38"/>
    <mergeCell ref="R32:V32"/>
    <mergeCell ref="A33:B33"/>
    <mergeCell ref="A4:A5"/>
    <mergeCell ref="A7:A8"/>
    <mergeCell ref="A19:A20"/>
    <mergeCell ref="A22:A23"/>
    <mergeCell ref="A18:B18"/>
    <mergeCell ref="A31:Q3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234B4-FEBA-4A95-8EB8-79F149E86780}">
  <dimension ref="A1:F56"/>
  <sheetViews>
    <sheetView topLeftCell="A13" workbookViewId="0">
      <selection activeCell="F23" sqref="F23:F27"/>
    </sheetView>
  </sheetViews>
  <sheetFormatPr defaultColWidth="9" defaultRowHeight="14.4"/>
  <cols>
    <col min="1" max="1" width="9" style="193"/>
    <col min="2" max="2" width="44.44140625" style="193" customWidth="1"/>
    <col min="3" max="3" width="13.88671875" style="193" customWidth="1"/>
    <col min="4" max="4" width="9.33203125" style="193" customWidth="1"/>
    <col min="5" max="5" width="12.88671875" style="193" customWidth="1"/>
    <col min="6" max="6" width="10" style="193" customWidth="1"/>
    <col min="7" max="7" width="9" style="193"/>
    <col min="8" max="8" width="10.44140625" style="193" customWidth="1"/>
    <col min="9" max="16384" width="9" style="193"/>
  </cols>
  <sheetData>
    <row r="1" spans="1:6">
      <c r="A1" s="274" t="s">
        <v>450</v>
      </c>
      <c r="B1" s="273"/>
      <c r="C1" s="273"/>
      <c r="D1" s="273"/>
      <c r="E1" s="273"/>
      <c r="F1" s="273"/>
    </row>
    <row r="2" spans="1:6">
      <c r="A2" s="273"/>
      <c r="B2" s="273"/>
      <c r="C2" s="273"/>
      <c r="D2" s="273"/>
      <c r="E2" s="273"/>
      <c r="F2" s="273"/>
    </row>
    <row r="3" spans="1:6">
      <c r="A3" s="273"/>
      <c r="B3" s="273"/>
      <c r="C3" s="273"/>
      <c r="D3" s="273"/>
      <c r="E3" s="273"/>
      <c r="F3" s="273"/>
    </row>
    <row r="4" spans="1:6" ht="15" thickBot="1">
      <c r="A4" s="273"/>
      <c r="B4" s="273"/>
      <c r="C4" s="273"/>
      <c r="D4" s="273"/>
      <c r="E4" s="273"/>
      <c r="F4" s="273"/>
    </row>
    <row r="5" spans="1:6" ht="19.2" customHeight="1" thickBot="1">
      <c r="A5" s="272" t="s">
        <v>449</v>
      </c>
      <c r="B5" s="272"/>
      <c r="C5" s="272"/>
      <c r="D5" s="272"/>
      <c r="E5" s="272"/>
      <c r="F5" s="272"/>
    </row>
    <row r="6" spans="1:6" ht="16.2" thickBot="1">
      <c r="A6" s="271" t="s">
        <v>448</v>
      </c>
      <c r="B6" s="271"/>
      <c r="C6" s="250"/>
      <c r="D6" s="250"/>
      <c r="E6" s="250"/>
      <c r="F6" s="250"/>
    </row>
    <row r="7" spans="1:6" ht="19.2" customHeight="1" thickBot="1">
      <c r="A7" s="271" t="s">
        <v>447</v>
      </c>
      <c r="B7" s="271"/>
      <c r="C7" s="249"/>
      <c r="D7" s="249"/>
      <c r="E7" s="249"/>
      <c r="F7" s="249"/>
    </row>
    <row r="8" spans="1:6" ht="19.2" customHeight="1" thickBot="1">
      <c r="A8" s="271" t="s">
        <v>446</v>
      </c>
      <c r="B8" s="271"/>
      <c r="C8" s="249"/>
      <c r="D8" s="249"/>
      <c r="E8" s="249"/>
      <c r="F8" s="249"/>
    </row>
    <row r="9" spans="1:6" ht="16.2" thickBot="1">
      <c r="A9" s="271" t="s">
        <v>445</v>
      </c>
      <c r="B9" s="271"/>
      <c r="C9" s="249" t="s">
        <v>418</v>
      </c>
      <c r="D9" s="249"/>
      <c r="E9" s="249"/>
      <c r="F9" s="249"/>
    </row>
    <row r="10" spans="1:6" ht="19.2" customHeight="1" thickBot="1">
      <c r="A10" s="270" t="s">
        <v>444</v>
      </c>
      <c r="B10" s="269"/>
      <c r="C10" s="249"/>
      <c r="D10" s="249"/>
      <c r="E10" s="249"/>
      <c r="F10" s="249"/>
    </row>
    <row r="11" spans="1:6" ht="16.2" thickBot="1">
      <c r="A11" s="268" t="s">
        <v>443</v>
      </c>
      <c r="B11" s="267"/>
      <c r="C11" s="249"/>
      <c r="D11" s="249"/>
      <c r="E11" s="249"/>
      <c r="F11" s="249"/>
    </row>
    <row r="12" spans="1:6" ht="19.2" customHeight="1" thickBot="1">
      <c r="A12" s="246" t="s">
        <v>442</v>
      </c>
      <c r="B12" s="246"/>
      <c r="C12" s="246"/>
      <c r="D12" s="246"/>
      <c r="E12" s="246"/>
      <c r="F12" s="246"/>
    </row>
    <row r="13" spans="1:6" ht="19.5" customHeight="1" thickBot="1">
      <c r="A13" s="245">
        <v>1</v>
      </c>
      <c r="B13" s="244" t="s">
        <v>441</v>
      </c>
      <c r="C13" s="250"/>
      <c r="D13" s="250"/>
      <c r="E13" s="250"/>
      <c r="F13" s="250"/>
    </row>
    <row r="14" spans="1:6" ht="16.2" thickBot="1">
      <c r="A14" s="245">
        <v>2</v>
      </c>
      <c r="B14" s="244" t="s">
        <v>440</v>
      </c>
      <c r="C14" s="250"/>
      <c r="D14" s="250"/>
      <c r="E14" s="250"/>
      <c r="F14" s="250"/>
    </row>
    <row r="15" spans="1:6" ht="31.8" thickBot="1">
      <c r="A15" s="245">
        <v>3</v>
      </c>
      <c r="B15" s="244" t="s">
        <v>439</v>
      </c>
      <c r="C15" s="250"/>
      <c r="D15" s="250"/>
      <c r="E15" s="250"/>
      <c r="F15" s="250"/>
    </row>
    <row r="16" spans="1:6" ht="19.2" customHeight="1" thickBot="1">
      <c r="A16" s="246" t="s">
        <v>438</v>
      </c>
      <c r="B16" s="246"/>
      <c r="C16" s="246"/>
      <c r="D16" s="246"/>
      <c r="E16" s="246"/>
      <c r="F16" s="246"/>
    </row>
    <row r="17" spans="1:6" ht="19.2" customHeight="1" thickBot="1">
      <c r="A17" s="265"/>
      <c r="B17" s="264" t="s">
        <v>437</v>
      </c>
      <c r="C17" s="262" t="s">
        <v>436</v>
      </c>
      <c r="D17" s="262" t="s">
        <v>435</v>
      </c>
      <c r="E17" s="262"/>
      <c r="F17" s="262"/>
    </row>
    <row r="18" spans="1:6" ht="19.5" customHeight="1" thickBot="1">
      <c r="A18" s="265"/>
      <c r="B18" s="264"/>
      <c r="C18" s="262"/>
      <c r="D18" s="262" t="s">
        <v>434</v>
      </c>
      <c r="E18" s="266" t="s">
        <v>433</v>
      </c>
      <c r="F18" s="262" t="s">
        <v>432</v>
      </c>
    </row>
    <row r="19" spans="1:6" ht="21" customHeight="1" thickBot="1">
      <c r="A19" s="265"/>
      <c r="B19" s="264"/>
      <c r="C19" s="262"/>
      <c r="D19" s="262"/>
      <c r="E19" s="263" t="s">
        <v>431</v>
      </c>
      <c r="F19" s="262"/>
    </row>
    <row r="20" spans="1:6" ht="16.8" thickBot="1">
      <c r="A20" s="245">
        <v>4</v>
      </c>
      <c r="B20" s="244" t="s">
        <v>430</v>
      </c>
      <c r="C20" s="256" t="s">
        <v>429</v>
      </c>
      <c r="D20" s="247"/>
      <c r="E20" s="247"/>
      <c r="F20" s="247">
        <v>8725</v>
      </c>
    </row>
    <row r="21" spans="1:6" ht="19.2" thickBot="1">
      <c r="A21" s="245">
        <v>5</v>
      </c>
      <c r="B21" s="244" t="s">
        <v>428</v>
      </c>
      <c r="C21" s="256" t="s">
        <v>427</v>
      </c>
      <c r="D21" s="247"/>
      <c r="E21" s="247"/>
      <c r="F21" s="247">
        <v>705</v>
      </c>
    </row>
    <row r="22" spans="1:6" ht="19.2" thickBot="1">
      <c r="A22" s="245">
        <v>6</v>
      </c>
      <c r="B22" s="244" t="s">
        <v>426</v>
      </c>
      <c r="C22" s="256" t="s">
        <v>425</v>
      </c>
      <c r="D22" s="247"/>
      <c r="E22" s="247"/>
      <c r="F22" s="247">
        <v>2115</v>
      </c>
    </row>
    <row r="23" spans="1:6" ht="43.2" customHeight="1" thickBot="1">
      <c r="A23" s="253">
        <v>7</v>
      </c>
      <c r="B23" s="260" t="s">
        <v>424</v>
      </c>
      <c r="C23" s="258" t="s">
        <v>423</v>
      </c>
      <c r="D23" s="261"/>
      <c r="E23" s="249"/>
      <c r="F23" s="249"/>
    </row>
    <row r="24" spans="1:6" ht="16.2" thickBot="1">
      <c r="A24" s="253"/>
      <c r="B24" s="260" t="s">
        <v>422</v>
      </c>
      <c r="C24" s="258"/>
      <c r="D24" s="259" t="s">
        <v>418</v>
      </c>
      <c r="E24" s="249"/>
      <c r="F24" s="249"/>
    </row>
    <row r="25" spans="1:6" ht="16.2" thickBot="1">
      <c r="A25" s="253"/>
      <c r="B25" s="260" t="s">
        <v>421</v>
      </c>
      <c r="C25" s="258"/>
      <c r="D25" s="259" t="s">
        <v>418</v>
      </c>
      <c r="E25" s="249"/>
      <c r="F25" s="249"/>
    </row>
    <row r="26" spans="1:6" ht="16.2" thickBot="1">
      <c r="A26" s="253"/>
      <c r="B26" s="260" t="s">
        <v>420</v>
      </c>
      <c r="C26" s="258"/>
      <c r="D26" s="259" t="s">
        <v>418</v>
      </c>
      <c r="E26" s="249"/>
      <c r="F26" s="249"/>
    </row>
    <row r="27" spans="1:6" ht="16.2" thickBot="1">
      <c r="A27" s="253"/>
      <c r="B27" s="244" t="s">
        <v>419</v>
      </c>
      <c r="C27" s="258"/>
      <c r="D27" s="257" t="s">
        <v>418</v>
      </c>
      <c r="E27" s="249"/>
      <c r="F27" s="249"/>
    </row>
    <row r="28" spans="1:6" ht="31.8" thickBot="1">
      <c r="A28" s="245">
        <v>8</v>
      </c>
      <c r="B28" s="244" t="s">
        <v>417</v>
      </c>
      <c r="C28" s="243"/>
      <c r="D28" s="247">
        <v>130</v>
      </c>
      <c r="E28" s="247"/>
      <c r="F28" s="247">
        <v>90</v>
      </c>
    </row>
    <row r="29" spans="1:6" ht="31.8" thickBot="1">
      <c r="A29" s="245">
        <v>9</v>
      </c>
      <c r="B29" s="244" t="s">
        <v>416</v>
      </c>
      <c r="C29" s="256" t="s">
        <v>414</v>
      </c>
      <c r="D29" s="247"/>
      <c r="E29" s="247">
        <v>20</v>
      </c>
      <c r="F29" s="247">
        <v>20</v>
      </c>
    </row>
    <row r="30" spans="1:6" ht="31.8" thickBot="1">
      <c r="A30" s="245">
        <v>10</v>
      </c>
      <c r="B30" s="244" t="s">
        <v>415</v>
      </c>
      <c r="C30" s="256" t="s">
        <v>414</v>
      </c>
      <c r="D30" s="247"/>
      <c r="E30" s="247">
        <v>26</v>
      </c>
      <c r="F30" s="247">
        <v>26</v>
      </c>
    </row>
    <row r="31" spans="1:6" ht="18.600000000000001" thickBot="1">
      <c r="A31" s="245">
        <v>11</v>
      </c>
      <c r="B31" s="244" t="s">
        <v>413</v>
      </c>
      <c r="C31" s="255" t="s">
        <v>412</v>
      </c>
      <c r="D31" s="247"/>
      <c r="E31" s="247"/>
      <c r="F31" s="247"/>
    </row>
    <row r="32" spans="1:6" ht="19.2" customHeight="1" thickBot="1">
      <c r="A32" s="246" t="s">
        <v>411</v>
      </c>
      <c r="B32" s="246"/>
      <c r="C32" s="246"/>
      <c r="D32" s="246"/>
      <c r="E32" s="246"/>
      <c r="F32" s="246"/>
    </row>
    <row r="33" spans="1:6" ht="31.8" thickBot="1">
      <c r="A33" s="245">
        <v>12</v>
      </c>
      <c r="B33" s="244" t="s">
        <v>410</v>
      </c>
      <c r="C33" s="248" t="s">
        <v>408</v>
      </c>
      <c r="D33" s="243"/>
      <c r="E33" s="243"/>
      <c r="F33" s="247">
        <v>6125</v>
      </c>
    </row>
    <row r="34" spans="1:6" ht="47.4" thickBot="1">
      <c r="A34" s="245">
        <v>13</v>
      </c>
      <c r="B34" s="244" t="s">
        <v>409</v>
      </c>
      <c r="C34" s="248" t="s">
        <v>408</v>
      </c>
      <c r="D34" s="243"/>
      <c r="E34" s="243"/>
      <c r="F34" s="243"/>
    </row>
    <row r="35" spans="1:6" ht="31.8" thickBot="1">
      <c r="A35" s="245">
        <v>14</v>
      </c>
      <c r="B35" s="244" t="s">
        <v>407</v>
      </c>
      <c r="C35" s="248" t="s">
        <v>406</v>
      </c>
      <c r="D35" s="243"/>
      <c r="E35" s="243"/>
      <c r="F35" s="247">
        <v>235224000</v>
      </c>
    </row>
    <row r="36" spans="1:6" ht="31.8" thickBot="1">
      <c r="A36" s="245">
        <v>15</v>
      </c>
      <c r="B36" s="244" t="s">
        <v>405</v>
      </c>
      <c r="C36" s="248" t="s">
        <v>404</v>
      </c>
      <c r="D36" s="243"/>
      <c r="E36" s="243"/>
      <c r="F36" s="247">
        <v>9000</v>
      </c>
    </row>
    <row r="37" spans="1:6" ht="47.4" thickBot="1">
      <c r="A37" s="245">
        <v>16</v>
      </c>
      <c r="B37" s="244" t="s">
        <v>403</v>
      </c>
      <c r="C37" s="248" t="s">
        <v>402</v>
      </c>
      <c r="D37" s="243"/>
      <c r="E37" s="243"/>
      <c r="F37" s="247">
        <v>8.68</v>
      </c>
    </row>
    <row r="38" spans="1:6" ht="18.600000000000001" thickBot="1">
      <c r="A38" s="253">
        <v>17</v>
      </c>
      <c r="B38" s="252" t="s">
        <v>401</v>
      </c>
      <c r="C38" s="254" t="s">
        <v>400</v>
      </c>
      <c r="D38" s="250"/>
      <c r="E38" s="250"/>
      <c r="F38" s="249">
        <v>12.76</v>
      </c>
    </row>
    <row r="39" spans="1:6" ht="16.2" thickBot="1">
      <c r="A39" s="253"/>
      <c r="B39" s="252"/>
      <c r="C39" s="251" t="s">
        <v>399</v>
      </c>
      <c r="D39" s="250"/>
      <c r="E39" s="250"/>
      <c r="F39" s="249"/>
    </row>
    <row r="40" spans="1:6" ht="47.4" thickBot="1">
      <c r="A40" s="245">
        <v>18</v>
      </c>
      <c r="B40" s="244" t="s">
        <v>398</v>
      </c>
      <c r="C40" s="248" t="s">
        <v>397</v>
      </c>
      <c r="D40" s="243"/>
      <c r="E40" s="243"/>
      <c r="F40" s="247">
        <v>33.49</v>
      </c>
    </row>
    <row r="41" spans="1:6" ht="47.4" thickBot="1">
      <c r="A41" s="245">
        <v>19</v>
      </c>
      <c r="B41" s="244" t="s">
        <v>396</v>
      </c>
      <c r="C41" s="248" t="s">
        <v>395</v>
      </c>
      <c r="D41" s="243"/>
      <c r="E41" s="243"/>
      <c r="F41" s="247">
        <v>3.28</v>
      </c>
    </row>
    <row r="42" spans="1:6" ht="63" thickBot="1">
      <c r="A42" s="245">
        <v>20</v>
      </c>
      <c r="B42" s="244" t="s">
        <v>394</v>
      </c>
      <c r="C42" s="248" t="s">
        <v>393</v>
      </c>
      <c r="D42" s="243"/>
      <c r="E42" s="243"/>
      <c r="F42" s="243"/>
    </row>
    <row r="43" spans="1:6" ht="47.4" thickBot="1">
      <c r="A43" s="245">
        <v>21</v>
      </c>
      <c r="B43" s="244" t="s">
        <v>392</v>
      </c>
      <c r="C43" s="248" t="s">
        <v>391</v>
      </c>
      <c r="D43" s="243"/>
      <c r="E43" s="243"/>
      <c r="F43" s="243"/>
    </row>
    <row r="44" spans="1:6" ht="19.2" customHeight="1" thickBot="1">
      <c r="A44" s="246" t="s">
        <v>390</v>
      </c>
      <c r="B44" s="246"/>
      <c r="C44" s="246"/>
      <c r="D44" s="246"/>
      <c r="E44" s="246"/>
      <c r="F44" s="246"/>
    </row>
    <row r="45" spans="1:6" ht="34.200000000000003" thickBot="1">
      <c r="A45" s="245">
        <v>22</v>
      </c>
      <c r="B45" s="244" t="s">
        <v>389</v>
      </c>
      <c r="C45" s="248" t="s">
        <v>388</v>
      </c>
      <c r="D45" s="243"/>
      <c r="E45" s="243"/>
      <c r="F45" s="247">
        <v>202.29</v>
      </c>
    </row>
    <row r="46" spans="1:6" ht="34.200000000000003" thickBot="1">
      <c r="A46" s="245">
        <v>23</v>
      </c>
      <c r="B46" s="244" t="s">
        <v>387</v>
      </c>
      <c r="C46" s="248" t="s">
        <v>386</v>
      </c>
      <c r="D46" s="243"/>
      <c r="E46" s="243"/>
      <c r="F46" s="247">
        <v>22.93</v>
      </c>
    </row>
    <row r="47" spans="1:6" ht="18.600000000000001" thickBot="1">
      <c r="A47" s="253">
        <v>24</v>
      </c>
      <c r="B47" s="252" t="s">
        <v>385</v>
      </c>
      <c r="C47" s="254" t="s">
        <v>384</v>
      </c>
      <c r="D47" s="250"/>
      <c r="E47" s="250"/>
      <c r="F47" s="249">
        <v>26.666</v>
      </c>
    </row>
    <row r="48" spans="1:6" ht="16.2" thickBot="1">
      <c r="A48" s="253"/>
      <c r="B48" s="252"/>
      <c r="C48" s="251" t="s">
        <v>383</v>
      </c>
      <c r="D48" s="250"/>
      <c r="E48" s="250"/>
      <c r="F48" s="249"/>
    </row>
    <row r="49" spans="1:6" ht="34.200000000000003" thickBot="1">
      <c r="A49" s="245">
        <v>25</v>
      </c>
      <c r="B49" s="244" t="s">
        <v>382</v>
      </c>
      <c r="C49" s="248" t="s">
        <v>381</v>
      </c>
      <c r="D49" s="243"/>
      <c r="E49" s="243"/>
      <c r="F49" s="247">
        <v>1425</v>
      </c>
    </row>
    <row r="50" spans="1:6" ht="19.2" customHeight="1" thickBot="1">
      <c r="A50" s="246" t="s">
        <v>380</v>
      </c>
      <c r="B50" s="246"/>
      <c r="C50" s="246"/>
      <c r="D50" s="246"/>
      <c r="E50" s="246"/>
      <c r="F50" s="246"/>
    </row>
    <row r="51" spans="1:6" ht="31.8" thickBot="1">
      <c r="A51" s="245">
        <v>26</v>
      </c>
      <c r="B51" s="244" t="s">
        <v>379</v>
      </c>
      <c r="C51" s="243"/>
      <c r="D51" s="247" t="s">
        <v>378</v>
      </c>
      <c r="E51" s="247" t="s">
        <v>378</v>
      </c>
      <c r="F51" s="247" t="s">
        <v>378</v>
      </c>
    </row>
    <row r="52" spans="1:6" ht="16.2" thickBot="1">
      <c r="A52" s="245">
        <v>27</v>
      </c>
      <c r="B52" s="244" t="s">
        <v>377</v>
      </c>
      <c r="C52" s="243"/>
      <c r="D52" s="247" t="s">
        <v>376</v>
      </c>
      <c r="E52" s="247" t="s">
        <v>376</v>
      </c>
      <c r="F52" s="247" t="s">
        <v>376</v>
      </c>
    </row>
    <row r="53" spans="1:6" ht="19.2" customHeight="1" thickBot="1">
      <c r="A53" s="246" t="s">
        <v>375</v>
      </c>
      <c r="B53" s="246"/>
      <c r="C53" s="246"/>
      <c r="D53" s="246"/>
      <c r="E53" s="246"/>
      <c r="F53" s="246"/>
    </row>
    <row r="54" spans="1:6" ht="16.2" thickBot="1">
      <c r="A54" s="245">
        <v>28</v>
      </c>
      <c r="B54" s="244" t="s">
        <v>374</v>
      </c>
      <c r="C54" s="243"/>
      <c r="D54" s="243"/>
      <c r="E54" s="243"/>
      <c r="F54" s="243"/>
    </row>
    <row r="55" spans="1:6" ht="16.2" thickBot="1">
      <c r="A55" s="245">
        <v>29</v>
      </c>
      <c r="B55" s="244" t="s">
        <v>373</v>
      </c>
      <c r="C55" s="243"/>
      <c r="D55" s="243"/>
      <c r="E55" s="243"/>
      <c r="F55" s="243"/>
    </row>
    <row r="56" spans="1:6" ht="16.2" thickBot="1">
      <c r="A56" s="245">
        <v>30</v>
      </c>
      <c r="B56" s="244" t="s">
        <v>372</v>
      </c>
      <c r="C56" s="243"/>
      <c r="D56" s="243"/>
      <c r="E56" s="243"/>
      <c r="F56" s="242"/>
    </row>
  </sheetData>
  <mergeCells count="42">
    <mergeCell ref="C10:F11"/>
    <mergeCell ref="A10:B10"/>
    <mergeCell ref="A16:F16"/>
    <mergeCell ref="D17:F17"/>
    <mergeCell ref="A32:F32"/>
    <mergeCell ref="A44:F44"/>
    <mergeCell ref="C6:F6"/>
    <mergeCell ref="A7:B7"/>
    <mergeCell ref="C7:F7"/>
    <mergeCell ref="F47:F48"/>
    <mergeCell ref="E47:E48"/>
    <mergeCell ref="A11:B11"/>
    <mergeCell ref="A12:F12"/>
    <mergeCell ref="C13:F13"/>
    <mergeCell ref="C14:F14"/>
    <mergeCell ref="C15:F15"/>
    <mergeCell ref="A1:F4"/>
    <mergeCell ref="F18:F19"/>
    <mergeCell ref="F23:F27"/>
    <mergeCell ref="F38:F39"/>
    <mergeCell ref="A8:B8"/>
    <mergeCell ref="C8:F8"/>
    <mergeCell ref="A9:B9"/>
    <mergeCell ref="C9:F9"/>
    <mergeCell ref="A5:F5"/>
    <mergeCell ref="A6:B6"/>
    <mergeCell ref="D18:D19"/>
    <mergeCell ref="D38:D39"/>
    <mergeCell ref="D47:D48"/>
    <mergeCell ref="E23:E27"/>
    <mergeCell ref="E38:E39"/>
    <mergeCell ref="A50:F50"/>
    <mergeCell ref="A53:F53"/>
    <mergeCell ref="A17:A19"/>
    <mergeCell ref="A23:A27"/>
    <mergeCell ref="A38:A39"/>
    <mergeCell ref="A47:A48"/>
    <mergeCell ref="B17:B19"/>
    <mergeCell ref="B38:B39"/>
    <mergeCell ref="B47:B48"/>
    <mergeCell ref="C17:C19"/>
    <mergeCell ref="C23:C27"/>
  </mergeCells>
  <hyperlinks>
    <hyperlink ref="A1" r:id="rId1" tooltip="javascript:scrollText(6910995)" xr:uid="{5F2F9818-4D4F-4256-9831-1536C34621D7}"/>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7"/>
  <dimension ref="A1:AB18"/>
  <sheetViews>
    <sheetView zoomScale="70" zoomScaleNormal="70" workbookViewId="0">
      <selection activeCell="G18" sqref="G18"/>
    </sheetView>
  </sheetViews>
  <sheetFormatPr defaultColWidth="9" defaultRowHeight="14.4"/>
  <cols>
    <col min="1" max="1" width="23.44140625" style="80" bestFit="1" customWidth="1"/>
    <col min="2" max="2" width="17.88671875" style="80" bestFit="1" customWidth="1"/>
    <col min="3" max="4" width="11.6640625" style="80" customWidth="1"/>
    <col min="5" max="7" width="11.6640625" style="80" bestFit="1" customWidth="1"/>
    <col min="8" max="9" width="11.6640625" style="80" customWidth="1"/>
    <col min="10" max="10" width="9.6640625" style="80" bestFit="1" customWidth="1"/>
    <col min="11" max="11" width="10.5546875" style="80" bestFit="1" customWidth="1"/>
    <col min="12" max="12" width="11.6640625" style="80" customWidth="1"/>
    <col min="13" max="17" width="11.6640625" style="80" bestFit="1" customWidth="1"/>
    <col min="18" max="18" width="4.44140625" style="80" bestFit="1" customWidth="1"/>
    <col min="19" max="19" width="7.21875" style="80" bestFit="1" customWidth="1"/>
    <col min="20" max="20" width="13.33203125" style="80" bestFit="1" customWidth="1"/>
    <col min="21" max="21" width="6.88671875" style="80" bestFit="1" customWidth="1"/>
    <col min="22" max="22" width="4.44140625" style="80" bestFit="1" customWidth="1"/>
    <col min="23" max="23" width="13.33203125" style="80" bestFit="1" customWidth="1"/>
    <col min="25" max="27" width="12.21875" style="80" bestFit="1" customWidth="1"/>
    <col min="28" max="28" width="13.33203125" style="80" bestFit="1" customWidth="1"/>
  </cols>
  <sheetData>
    <row r="1" spans="1:28">
      <c r="A1" s="124" t="s">
        <v>157</v>
      </c>
      <c r="B1" s="92"/>
      <c r="C1" s="92"/>
      <c r="D1" s="92"/>
      <c r="E1" s="92"/>
      <c r="F1" s="92"/>
      <c r="G1" s="92"/>
      <c r="H1" s="92"/>
      <c r="I1" s="92"/>
      <c r="J1" s="92"/>
      <c r="K1" s="92"/>
      <c r="L1" s="92"/>
      <c r="M1" s="92"/>
      <c r="N1" s="92"/>
      <c r="O1" s="92"/>
      <c r="P1" s="92"/>
      <c r="Q1" s="92"/>
    </row>
    <row r="2" spans="1:28" ht="15.6" customHeight="1">
      <c r="A2" s="98"/>
      <c r="B2" s="93"/>
      <c r="C2" s="84"/>
      <c r="D2" s="84"/>
      <c r="E2" s="84"/>
      <c r="F2" s="84"/>
      <c r="G2" s="84"/>
      <c r="H2" s="84"/>
      <c r="I2" s="84"/>
      <c r="J2" s="84"/>
      <c r="K2" s="84"/>
      <c r="L2" s="84"/>
      <c r="M2" s="127" t="s">
        <v>158</v>
      </c>
      <c r="N2" s="93"/>
      <c r="O2" s="93"/>
      <c r="P2" s="93"/>
      <c r="Q2" s="93"/>
    </row>
    <row r="3" spans="1:28">
      <c r="A3" s="111" t="s">
        <v>159</v>
      </c>
      <c r="B3" s="101"/>
      <c r="C3" s="111" t="s">
        <v>160</v>
      </c>
      <c r="D3" s="103"/>
      <c r="E3" s="103"/>
      <c r="F3" s="103"/>
      <c r="G3" s="101"/>
      <c r="H3" s="111" t="s">
        <v>161</v>
      </c>
      <c r="I3" s="103"/>
      <c r="J3" s="103"/>
      <c r="K3" s="103"/>
      <c r="L3" s="101"/>
      <c r="M3" s="111" t="s">
        <v>162</v>
      </c>
      <c r="N3" s="103"/>
      <c r="O3" s="103"/>
      <c r="P3" s="103"/>
      <c r="Q3" s="101"/>
    </row>
    <row r="4" spans="1:28" ht="15.6" customHeight="1">
      <c r="A4" s="111" t="s">
        <v>118</v>
      </c>
      <c r="B4" s="101"/>
      <c r="C4" s="66" t="s">
        <v>119</v>
      </c>
      <c r="D4" s="66" t="s">
        <v>120</v>
      </c>
      <c r="E4" s="66" t="s">
        <v>120</v>
      </c>
      <c r="F4" s="66" t="s">
        <v>122</v>
      </c>
      <c r="G4" s="66" t="s">
        <v>94</v>
      </c>
      <c r="H4" s="66" t="s">
        <v>119</v>
      </c>
      <c r="I4" s="66" t="s">
        <v>120</v>
      </c>
      <c r="J4" s="66" t="s">
        <v>121</v>
      </c>
      <c r="K4" s="66" t="s">
        <v>122</v>
      </c>
      <c r="L4" s="66" t="s">
        <v>94</v>
      </c>
      <c r="M4" s="66" t="s">
        <v>119</v>
      </c>
      <c r="N4" s="66" t="s">
        <v>120</v>
      </c>
      <c r="O4" s="66" t="s">
        <v>121</v>
      </c>
      <c r="P4" s="66" t="s">
        <v>122</v>
      </c>
      <c r="Q4" s="66" t="s">
        <v>94</v>
      </c>
    </row>
    <row r="5" spans="1:28" ht="15.6" customHeight="1">
      <c r="A5" s="99" t="s">
        <v>163</v>
      </c>
      <c r="B5" s="101"/>
      <c r="C5" s="1">
        <v>1630</v>
      </c>
      <c r="D5" s="1">
        <v>1630</v>
      </c>
      <c r="E5" s="1">
        <v>1630</v>
      </c>
      <c r="F5" s="1">
        <v>1630</v>
      </c>
      <c r="G5" s="3">
        <v>1630</v>
      </c>
      <c r="H5" s="1">
        <v>1630</v>
      </c>
      <c r="I5" s="1">
        <v>1630</v>
      </c>
      <c r="J5" s="1">
        <v>1630</v>
      </c>
      <c r="K5" s="1">
        <v>1630</v>
      </c>
      <c r="L5" s="3">
        <v>1630</v>
      </c>
      <c r="M5" s="1">
        <v>1630</v>
      </c>
      <c r="N5" s="1">
        <v>1630</v>
      </c>
      <c r="O5" s="1">
        <v>1630</v>
      </c>
      <c r="P5" s="1">
        <v>1630</v>
      </c>
      <c r="Q5" s="3">
        <v>1630</v>
      </c>
    </row>
    <row r="6" spans="1:28" ht="46.8" customHeight="1">
      <c r="A6" s="99" t="s">
        <v>124</v>
      </c>
      <c r="B6" s="1" t="s">
        <v>128</v>
      </c>
      <c r="C6" s="1">
        <v>0</v>
      </c>
      <c r="D6" s="1">
        <v>0</v>
      </c>
      <c r="E6" s="1">
        <v>0</v>
      </c>
      <c r="F6" s="1">
        <v>0</v>
      </c>
      <c r="G6" s="3">
        <v>0</v>
      </c>
      <c r="H6" s="1">
        <f t="shared" ref="H6:Q6" si="0">C7</f>
        <v>0</v>
      </c>
      <c r="I6" s="1">
        <f t="shared" si="0"/>
        <v>890249</v>
      </c>
      <c r="J6" s="1">
        <f t="shared" si="0"/>
        <v>1078949</v>
      </c>
      <c r="K6" s="1">
        <f t="shared" si="0"/>
        <v>1014849</v>
      </c>
      <c r="L6" s="3">
        <f t="shared" si="0"/>
        <v>2984047</v>
      </c>
      <c r="M6" s="1">
        <f t="shared" si="0"/>
        <v>943780</v>
      </c>
      <c r="N6" s="1">
        <f t="shared" si="0"/>
        <v>1282804</v>
      </c>
      <c r="O6" s="1">
        <f t="shared" si="0"/>
        <v>1444004</v>
      </c>
      <c r="P6" s="1">
        <f t="shared" si="0"/>
        <v>1443365</v>
      </c>
      <c r="Q6" s="3">
        <f t="shared" si="0"/>
        <v>5113953</v>
      </c>
      <c r="S6" s="67"/>
    </row>
    <row r="7" spans="1:28" ht="46.8" customHeight="1">
      <c r="A7" s="100"/>
      <c r="B7" s="1" t="s">
        <v>126</v>
      </c>
      <c r="C7" s="1">
        <f>'Динамика ср'!C6</f>
        <v>0</v>
      </c>
      <c r="D7" s="1">
        <f>'Динамика ср'!D6</f>
        <v>890249</v>
      </c>
      <c r="E7" s="1">
        <f>'Динамика ср'!E6</f>
        <v>1078949</v>
      </c>
      <c r="F7" s="1">
        <f>'Динамика ср'!F6</f>
        <v>1014849</v>
      </c>
      <c r="G7" s="3">
        <f>'Динамика ср'!G6</f>
        <v>2984047</v>
      </c>
      <c r="H7" s="1">
        <f>'Динамика ср'!C23</f>
        <v>943780</v>
      </c>
      <c r="I7" s="1">
        <f>'Динамика ср'!D23</f>
        <v>1282804</v>
      </c>
      <c r="J7" s="1">
        <f>'Динамика ср'!E23</f>
        <v>1444004</v>
      </c>
      <c r="K7" s="1">
        <f>'Динамика ср'!F23</f>
        <v>1443365</v>
      </c>
      <c r="L7" s="3">
        <f>'Динамика ср'!G23</f>
        <v>5113953</v>
      </c>
      <c r="M7" s="1">
        <f>'Динамика ср'!C40</f>
        <v>1121559</v>
      </c>
      <c r="N7" s="1">
        <f>'Динамика ср'!D40</f>
        <v>1007498</v>
      </c>
      <c r="O7" s="1">
        <f>'Динамика ср'!E40</f>
        <v>1254224</v>
      </c>
      <c r="P7" s="1">
        <f>'Динамика ср'!F40</f>
        <v>1338076</v>
      </c>
      <c r="Q7" s="3">
        <f>'Динамика ср'!G40</f>
        <v>4721357</v>
      </c>
    </row>
    <row r="8" spans="1:28" ht="46.8" customHeight="1">
      <c r="A8" s="99" t="s">
        <v>127</v>
      </c>
      <c r="B8" s="1" t="s">
        <v>128</v>
      </c>
      <c r="C8" s="1"/>
      <c r="D8" s="1"/>
      <c r="E8" s="1"/>
      <c r="F8" s="1"/>
      <c r="G8" s="3"/>
      <c r="H8" s="1"/>
      <c r="I8" s="1"/>
      <c r="J8" s="1"/>
      <c r="K8" s="1"/>
      <c r="L8" s="3"/>
      <c r="M8" s="1"/>
      <c r="N8" s="1"/>
      <c r="O8" s="1"/>
      <c r="P8" s="1"/>
      <c r="Q8" s="3"/>
    </row>
    <row r="9" spans="1:28" ht="46.8" customHeight="1">
      <c r="A9" s="100"/>
      <c r="B9" s="1" t="s">
        <v>129</v>
      </c>
      <c r="C9" s="1"/>
      <c r="D9" s="1"/>
      <c r="E9" s="1"/>
      <c r="F9" s="1"/>
      <c r="G9" s="3"/>
      <c r="H9" s="1"/>
      <c r="I9" s="1"/>
      <c r="J9" s="1"/>
      <c r="K9" s="1"/>
      <c r="L9" s="3"/>
      <c r="M9" s="1"/>
      <c r="N9" s="1"/>
      <c r="O9" s="1"/>
      <c r="P9" s="1"/>
      <c r="Q9" s="3"/>
    </row>
    <row r="10" spans="1:28" ht="46.8" customHeight="1">
      <c r="A10" s="99" t="s">
        <v>164</v>
      </c>
      <c r="B10" s="1" t="s">
        <v>128</v>
      </c>
      <c r="C10" s="1">
        <v>0</v>
      </c>
      <c r="D10" s="1">
        <v>0</v>
      </c>
      <c r="E10" s="1">
        <v>0</v>
      </c>
      <c r="F10" s="1">
        <v>0</v>
      </c>
      <c r="G10" s="3">
        <v>0</v>
      </c>
      <c r="H10" s="2">
        <f t="shared" ref="H10:Q10" si="1">C11</f>
        <v>120.78267899999999</v>
      </c>
      <c r="I10" s="2">
        <f t="shared" si="1"/>
        <v>109.50062699999999</v>
      </c>
      <c r="J10" s="2">
        <f t="shared" si="1"/>
        <v>132.71072700000002</v>
      </c>
      <c r="K10" s="2">
        <f t="shared" si="1"/>
        <v>124.82642700000001</v>
      </c>
      <c r="L10" s="4">
        <f t="shared" si="1"/>
        <v>487.82045999999997</v>
      </c>
      <c r="M10" s="2">
        <f t="shared" si="1"/>
        <v>133.27497999999997</v>
      </c>
      <c r="N10" s="2">
        <f t="shared" si="1"/>
        <v>161.70801200000002</v>
      </c>
      <c r="O10" s="2">
        <f t="shared" si="1"/>
        <v>180.93241199999997</v>
      </c>
      <c r="P10" s="2">
        <f t="shared" si="1"/>
        <v>190.51081500000001</v>
      </c>
      <c r="Q10" s="4">
        <f t="shared" si="1"/>
        <v>666.42621900000006</v>
      </c>
    </row>
    <row r="11" spans="1:28" ht="46.8" customHeight="1">
      <c r="A11" s="100"/>
      <c r="B11" s="1" t="s">
        <v>129</v>
      </c>
      <c r="C11" s="2">
        <f>Баланс!BA14</f>
        <v>120.78267899999999</v>
      </c>
      <c r="D11" s="2">
        <f>Баланс!BB14</f>
        <v>109.50062699999999</v>
      </c>
      <c r="E11" s="2">
        <f>Баланс!BC14</f>
        <v>132.71072700000002</v>
      </c>
      <c r="F11" s="2">
        <f>Баланс!BD14</f>
        <v>124.82642700000001</v>
      </c>
      <c r="G11" s="4">
        <f>Баланс!BE14</f>
        <v>487.82045999999997</v>
      </c>
      <c r="H11" s="2">
        <f>Баланс!BA32</f>
        <v>133.27497999999997</v>
      </c>
      <c r="I11" s="2">
        <f>Баланс!BB32</f>
        <v>161.70801200000002</v>
      </c>
      <c r="J11" s="2">
        <f>Баланс!BC32</f>
        <v>180.93241199999997</v>
      </c>
      <c r="K11" s="2">
        <f>Баланс!BD32</f>
        <v>190.51081500000001</v>
      </c>
      <c r="L11" s="4">
        <f>Баланс!BE32</f>
        <v>666.42621900000006</v>
      </c>
      <c r="M11" s="2">
        <f>Баланс!BA51</f>
        <v>137.95175699999999</v>
      </c>
      <c r="N11" s="2">
        <f>Баланс!BB51</f>
        <v>123.92225400000001</v>
      </c>
      <c r="O11" s="2">
        <f>Баланс!BC51</f>
        <v>154.26955199999998</v>
      </c>
      <c r="P11" s="2">
        <f>Баланс!BD51</f>
        <v>164.583348</v>
      </c>
      <c r="Q11" s="4">
        <f>Баланс!BE51</f>
        <v>580.72691099999997</v>
      </c>
    </row>
    <row r="12" spans="1:28" ht="46.8" customHeight="1">
      <c r="A12" s="99" t="s">
        <v>165</v>
      </c>
      <c r="B12" s="1" t="s">
        <v>128</v>
      </c>
      <c r="C12" s="1">
        <v>0</v>
      </c>
      <c r="D12" s="1">
        <v>0</v>
      </c>
      <c r="E12" s="1">
        <v>0</v>
      </c>
      <c r="F12" s="1">
        <v>0</v>
      </c>
      <c r="G12" s="3">
        <v>0</v>
      </c>
      <c r="H12" s="2">
        <f t="shared" ref="H12:Q12" si="2">C13</f>
        <v>97.860645000000005</v>
      </c>
      <c r="I12" s="2">
        <f t="shared" si="2"/>
        <v>88.719776999999993</v>
      </c>
      <c r="J12" s="2">
        <f t="shared" si="2"/>
        <v>107.525001</v>
      </c>
      <c r="K12" s="2">
        <f t="shared" si="2"/>
        <v>101.136996</v>
      </c>
      <c r="L12" s="4">
        <f t="shared" si="2"/>
        <v>395.24241899999998</v>
      </c>
      <c r="M12" s="2">
        <f t="shared" si="2"/>
        <v>94.054533000000006</v>
      </c>
      <c r="N12" s="2">
        <f t="shared" si="2"/>
        <v>127.840665</v>
      </c>
      <c r="O12" s="2">
        <f t="shared" si="2"/>
        <v>143.905449</v>
      </c>
      <c r="P12" s="2">
        <f t="shared" si="2"/>
        <v>143.841735</v>
      </c>
      <c r="Q12" s="4">
        <f t="shared" si="2"/>
        <v>509.642382</v>
      </c>
    </row>
    <row r="13" spans="1:28" ht="46.8" customHeight="1">
      <c r="A13" s="100"/>
      <c r="B13" s="1" t="s">
        <v>126</v>
      </c>
      <c r="C13" s="2">
        <f>Баланс!BA10</f>
        <v>97.860645000000005</v>
      </c>
      <c r="D13" s="2">
        <f>Баланс!BB10</f>
        <v>88.719776999999993</v>
      </c>
      <c r="E13" s="2">
        <f>Баланс!BC10</f>
        <v>107.525001</v>
      </c>
      <c r="F13" s="2">
        <f>Баланс!BD10</f>
        <v>101.136996</v>
      </c>
      <c r="G13" s="4">
        <f>Баланс!BE10</f>
        <v>395.24241899999998</v>
      </c>
      <c r="H13" s="2">
        <f>Баланс!BA28</f>
        <v>94.054533000000006</v>
      </c>
      <c r="I13" s="2">
        <f>Баланс!BB28</f>
        <v>127.840665</v>
      </c>
      <c r="J13" s="2">
        <f>Баланс!BC28</f>
        <v>143.905449</v>
      </c>
      <c r="K13" s="2">
        <f>Баланс!BD28</f>
        <v>143.841735</v>
      </c>
      <c r="L13" s="4">
        <f>Баланс!BE28</f>
        <v>509.642382</v>
      </c>
      <c r="M13" s="2">
        <f>Баланс!BA47</f>
        <v>111.77145299999999</v>
      </c>
      <c r="N13" s="2">
        <f>Баланс!BB47</f>
        <v>100.404408</v>
      </c>
      <c r="O13" s="2">
        <f>Баланс!BC47</f>
        <v>124.99247699999999</v>
      </c>
      <c r="P13" s="2">
        <f>Баланс!BD47</f>
        <v>133.348974</v>
      </c>
      <c r="Q13" s="4">
        <f>Баланс!BE47</f>
        <v>470.517312</v>
      </c>
    </row>
    <row r="14" spans="1:28" ht="171.6" customHeight="1">
      <c r="A14" s="65" t="s">
        <v>166</v>
      </c>
      <c r="B14" s="1"/>
      <c r="C14" s="1">
        <v>0</v>
      </c>
      <c r="D14" s="1">
        <v>0</v>
      </c>
      <c r="E14" s="1">
        <v>0</v>
      </c>
      <c r="F14" s="1">
        <v>0</v>
      </c>
      <c r="G14" s="3">
        <v>0</v>
      </c>
      <c r="H14" s="1" t="s">
        <v>167</v>
      </c>
      <c r="I14" s="1" t="s">
        <v>168</v>
      </c>
      <c r="J14" s="1" t="s">
        <v>169</v>
      </c>
      <c r="K14" s="1" t="s">
        <v>170</v>
      </c>
      <c r="L14" s="3" t="s">
        <v>171</v>
      </c>
      <c r="M14" s="1" t="s">
        <v>172</v>
      </c>
      <c r="N14" s="1" t="s">
        <v>173</v>
      </c>
      <c r="O14" s="1" t="s">
        <v>174</v>
      </c>
      <c r="P14" s="1" t="s">
        <v>175</v>
      </c>
      <c r="Q14" s="3" t="s">
        <v>176</v>
      </c>
    </row>
    <row r="15" spans="1:28" ht="31.2" customHeight="1">
      <c r="A15" s="65" t="s">
        <v>177</v>
      </c>
      <c r="B15" s="1" t="s">
        <v>178</v>
      </c>
      <c r="C15" s="2">
        <f>Баланс!BA13</f>
        <v>17.937382999999997</v>
      </c>
      <c r="D15" s="2">
        <f>Баланс!BB13</f>
        <v>3.9790969999999994</v>
      </c>
      <c r="E15" s="2">
        <f>Баланс!BC13</f>
        <v>2.7736739999999998</v>
      </c>
      <c r="F15" s="2">
        <f>Баланс!BD13</f>
        <v>10.270457999999998</v>
      </c>
      <c r="G15" s="4">
        <f>Баланс!BE13</f>
        <v>34.960611999999998</v>
      </c>
      <c r="H15" s="1">
        <f>Баланс!BA31</f>
        <v>16.90438</v>
      </c>
      <c r="I15" s="1">
        <f>Баланс!BB31</f>
        <v>4.0748479999999994</v>
      </c>
      <c r="J15" s="1">
        <f>Баланс!BC31</f>
        <v>3.6796410000000002</v>
      </c>
      <c r="K15" s="1">
        <f>Баланс!BD31</f>
        <v>13.335902999999998</v>
      </c>
      <c r="L15" s="3">
        <f>Баланс!BE31</f>
        <v>37.994771999999998</v>
      </c>
      <c r="M15" s="1">
        <f>Баланс!BA50</f>
        <v>25.554214999999999</v>
      </c>
      <c r="N15" s="1">
        <f>Баланс!BB50</f>
        <v>2.9377839999999997</v>
      </c>
      <c r="O15" s="1">
        <f>Баланс!BC50</f>
        <v>2.633311</v>
      </c>
      <c r="P15" s="1">
        <f>Баланс!BD50</f>
        <v>13.913387999999999</v>
      </c>
      <c r="Q15" s="3">
        <f>Баланс!BE50</f>
        <v>45.038698000000004</v>
      </c>
      <c r="S15" s="6" t="s">
        <v>145</v>
      </c>
      <c r="U15" s="6" t="s">
        <v>146</v>
      </c>
      <c r="Y15">
        <f>(R16/1000)*0.123</f>
        <v>1.0578E-3</v>
      </c>
      <c r="Z15">
        <f>V16/1000*1.16</f>
        <v>3.9439999999999996E-3</v>
      </c>
      <c r="AA15">
        <f>Y15+Z15</f>
        <v>5.0017999999999998E-3</v>
      </c>
    </row>
    <row r="16" spans="1:28" ht="31.2" customHeight="1">
      <c r="A16" s="65" t="s">
        <v>179</v>
      </c>
      <c r="B16" s="1" t="s">
        <v>178</v>
      </c>
      <c r="C16" s="1">
        <f>Баланс!BA9</f>
        <v>142.71417199999999</v>
      </c>
      <c r="D16" s="1">
        <f>Баланс!BB9</f>
        <v>117.241241</v>
      </c>
      <c r="E16" s="1">
        <f>Баланс!BC9</f>
        <v>139.72451100000001</v>
      </c>
      <c r="F16" s="1">
        <f>Баланс!BD9</f>
        <v>139.17438899999999</v>
      </c>
      <c r="G16" s="3">
        <f>Баланс!BE9</f>
        <v>538.85431299999993</v>
      </c>
      <c r="H16" s="2">
        <f>Баланс!BA27</f>
        <v>136.03159299999999</v>
      </c>
      <c r="I16" s="2">
        <f>Баланс!BB27</f>
        <v>166.61694199999999</v>
      </c>
      <c r="J16" s="2">
        <f>Баланс!BC27</f>
        <v>186.45831000000001</v>
      </c>
      <c r="K16" s="2">
        <f>Баланс!BD27</f>
        <v>196.03425300000001</v>
      </c>
      <c r="L16" s="4">
        <f>Баланс!BE27</f>
        <v>685.14109800000006</v>
      </c>
      <c r="M16" s="1">
        <f>Баланс!BA46</f>
        <v>167.85419899999999</v>
      </c>
      <c r="N16" s="1">
        <f>Баланс!BB46</f>
        <v>130.918969</v>
      </c>
      <c r="O16" s="1">
        <f>Баланс!BC46</f>
        <v>161.58761800000002</v>
      </c>
      <c r="P16" s="1">
        <f>Баланс!BD46</f>
        <v>183.39415799999998</v>
      </c>
      <c r="Q16" s="3">
        <f>Баланс!BE46</f>
        <v>643.75494399999991</v>
      </c>
      <c r="R16">
        <v>8.6</v>
      </c>
      <c r="S16" s="7">
        <v>5.75</v>
      </c>
      <c r="T16">
        <f>S16/R16</f>
        <v>0.66860465116279078</v>
      </c>
      <c r="U16" s="7">
        <v>1.383</v>
      </c>
      <c r="V16">
        <v>3.4</v>
      </c>
      <c r="W16">
        <f>U16/V16</f>
        <v>0.40676470588235297</v>
      </c>
      <c r="Y16">
        <f>(S16/1000)*0.123</f>
        <v>7.0724999999999998E-4</v>
      </c>
      <c r="Z16">
        <f>(U16/1000)*1.16</f>
        <v>1.60428E-3</v>
      </c>
      <c r="AA16">
        <f>Y16+Z16</f>
        <v>2.31153E-3</v>
      </c>
      <c r="AB16">
        <f>AA16/AA15</f>
        <v>0.46213962973329603</v>
      </c>
    </row>
    <row r="17" spans="1:28" ht="46.8" customHeight="1">
      <c r="A17" s="65" t="s">
        <v>180</v>
      </c>
      <c r="B17" s="1"/>
      <c r="C17" s="1"/>
      <c r="D17" s="1"/>
      <c r="E17" s="1"/>
      <c r="F17" s="1"/>
      <c r="G17" s="5" t="s">
        <v>181</v>
      </c>
      <c r="H17" s="1"/>
      <c r="I17" s="1"/>
      <c r="J17" s="1"/>
      <c r="K17" s="1"/>
      <c r="L17" s="5" t="s">
        <v>182</v>
      </c>
      <c r="M17" s="1"/>
      <c r="N17" s="1"/>
      <c r="O17" s="1"/>
      <c r="P17" s="1"/>
      <c r="Q17" s="5" t="s">
        <v>183</v>
      </c>
      <c r="R17">
        <v>8.6</v>
      </c>
      <c r="S17" s="7">
        <v>6.59</v>
      </c>
      <c r="T17">
        <f>S17/R17</f>
        <v>0.76627906976744187</v>
      </c>
      <c r="U17" s="7">
        <v>1.9490000000000001</v>
      </c>
      <c r="V17">
        <v>3.4</v>
      </c>
      <c r="W17">
        <f>U17/V17</f>
        <v>0.57323529411764707</v>
      </c>
      <c r="Y17">
        <f>(S17/1000)*0.123</f>
        <v>8.1056999999999993E-4</v>
      </c>
      <c r="Z17">
        <f>(U17/1000)*1.16</f>
        <v>2.2608399999999996E-3</v>
      </c>
      <c r="AA17">
        <f>Y17+Z17</f>
        <v>3.0714099999999997E-3</v>
      </c>
      <c r="AB17">
        <f>AA17/AA15</f>
        <v>0.61406093806229756</v>
      </c>
    </row>
    <row r="18" spans="1:28" ht="15.6" customHeight="1">
      <c r="A18" s="65" t="s">
        <v>184</v>
      </c>
      <c r="B18" s="1" t="s">
        <v>178</v>
      </c>
      <c r="C18" s="1">
        <f>Баланс!BA8</f>
        <v>0</v>
      </c>
      <c r="D18" s="1">
        <f>Баланс!BB8</f>
        <v>0</v>
      </c>
      <c r="E18" s="1">
        <f>Баланс!BC8</f>
        <v>0</v>
      </c>
      <c r="F18" s="1">
        <f>Баланс!BD8</f>
        <v>0</v>
      </c>
      <c r="G18" s="3">
        <f>Баланс!BE8</f>
        <v>0</v>
      </c>
      <c r="H18" s="2">
        <f>Баланс!BA26</f>
        <v>0</v>
      </c>
      <c r="I18" s="2">
        <f>Баланс!BB26</f>
        <v>0</v>
      </c>
      <c r="J18" s="2">
        <f>Баланс!BC26</f>
        <v>0</v>
      </c>
      <c r="K18" s="2">
        <f>Баланс!BD26</f>
        <v>0</v>
      </c>
      <c r="L18" s="4">
        <f>Баланс!BE26</f>
        <v>0</v>
      </c>
      <c r="M18" s="1">
        <f>Баланс!BA45</f>
        <v>0</v>
      </c>
      <c r="N18" s="1">
        <f>Баланс!BB45</f>
        <v>0</v>
      </c>
      <c r="O18" s="1">
        <f>Баланс!BC45</f>
        <v>0</v>
      </c>
      <c r="P18" s="1">
        <f>Баланс!BD45</f>
        <v>0</v>
      </c>
      <c r="Q18" s="3">
        <f>Баланс!BE45</f>
        <v>0</v>
      </c>
      <c r="R18">
        <v>8.6</v>
      </c>
      <c r="S18" s="7">
        <v>8.1199999999999992</v>
      </c>
      <c r="T18">
        <f>S18/R18</f>
        <v>0.94418604651162785</v>
      </c>
      <c r="U18" s="7">
        <v>3.4129999999999998</v>
      </c>
      <c r="V18">
        <v>3.4</v>
      </c>
      <c r="W18">
        <f>U18/V18</f>
        <v>1.0038235294117648</v>
      </c>
      <c r="Y18">
        <f>(S18/1000)*0.123</f>
        <v>9.987599999999998E-4</v>
      </c>
      <c r="Z18">
        <f>(U18/1000)*1.16</f>
        <v>3.9590799999999994E-3</v>
      </c>
      <c r="AA18">
        <f>Y18+Z18</f>
        <v>4.9578399999999989E-3</v>
      </c>
      <c r="AB18">
        <f>AA18/AA15</f>
        <v>0.99121116398096665</v>
      </c>
    </row>
  </sheetData>
  <mergeCells count="13">
    <mergeCell ref="A1:Q1"/>
    <mergeCell ref="C3:G3"/>
    <mergeCell ref="A12:A13"/>
    <mergeCell ref="A5:B5"/>
    <mergeCell ref="A6:A7"/>
    <mergeCell ref="A10:A11"/>
    <mergeCell ref="M3:Q3"/>
    <mergeCell ref="A3:B3"/>
    <mergeCell ref="A4:B4"/>
    <mergeCell ref="H3:L3"/>
    <mergeCell ref="A8:A9"/>
    <mergeCell ref="A2:B2"/>
    <mergeCell ref="M2:Q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A0AF8-A2C3-464A-8F82-ECEF178CF4C0}">
  <sheetPr codeName="Ли�"/>
  <dimension ref="A1:H42"/>
  <sheetViews>
    <sheetView workbookViewId="0">
      <selection activeCell="F15" sqref="F15"/>
    </sheetView>
  </sheetViews>
  <sheetFormatPr defaultColWidth="9" defaultRowHeight="14.4"/>
  <cols>
    <col min="1" max="1" width="3.109375" style="193" bestFit="1" customWidth="1"/>
    <col min="2" max="2" width="26.6640625" style="193" customWidth="1"/>
    <col min="3" max="3" width="47.109375" style="193" bestFit="1" customWidth="1"/>
    <col min="4" max="4" width="15.5546875" style="193" bestFit="1" customWidth="1"/>
    <col min="5" max="5" width="19" style="193" bestFit="1" customWidth="1"/>
    <col min="6" max="6" width="16.33203125" style="193" bestFit="1" customWidth="1"/>
    <col min="7" max="7" width="16.77734375" style="193" bestFit="1" customWidth="1"/>
    <col min="8" max="16384" width="9" style="193"/>
  </cols>
  <sheetData>
    <row r="1" spans="1:8" ht="14.4" customHeight="1">
      <c r="A1" s="286" t="s">
        <v>185</v>
      </c>
      <c r="B1" s="286" t="s">
        <v>485</v>
      </c>
      <c r="C1" s="286" t="s">
        <v>484</v>
      </c>
      <c r="D1" s="286" t="s">
        <v>483</v>
      </c>
      <c r="E1" s="286" t="s">
        <v>482</v>
      </c>
      <c r="F1" s="285" t="s">
        <v>481</v>
      </c>
      <c r="G1" s="194" t="s">
        <v>7</v>
      </c>
    </row>
    <row r="2" spans="1:8">
      <c r="A2" s="281" t="s">
        <v>31</v>
      </c>
      <c r="B2" s="280"/>
      <c r="C2" s="280"/>
      <c r="D2" s="280"/>
      <c r="E2" s="280"/>
      <c r="F2" s="279"/>
      <c r="G2" s="194"/>
    </row>
    <row r="3" spans="1:8" ht="23.4" customHeight="1">
      <c r="A3" s="278">
        <v>1</v>
      </c>
      <c r="B3" s="278" t="s">
        <v>480</v>
      </c>
      <c r="C3" s="278" t="s">
        <v>479</v>
      </c>
      <c r="D3" s="283">
        <v>178</v>
      </c>
      <c r="E3" s="278" t="s">
        <v>478</v>
      </c>
      <c r="F3" s="277" t="s">
        <v>451</v>
      </c>
      <c r="G3" s="194"/>
    </row>
    <row r="4" spans="1:8" s="284" customFormat="1">
      <c r="A4" s="278">
        <v>2</v>
      </c>
      <c r="B4" s="278" t="s">
        <v>464</v>
      </c>
      <c r="C4" s="278" t="s">
        <v>477</v>
      </c>
      <c r="D4" s="283">
        <v>0</v>
      </c>
      <c r="E4" s="278" t="s">
        <v>476</v>
      </c>
      <c r="F4" s="277" t="s">
        <v>451</v>
      </c>
      <c r="G4" s="278" t="s">
        <v>475</v>
      </c>
    </row>
    <row r="5" spans="1:8" ht="15.6" customHeight="1">
      <c r="A5" s="278">
        <v>3</v>
      </c>
      <c r="B5" s="278" t="s">
        <v>474</v>
      </c>
      <c r="C5" s="278" t="s">
        <v>473</v>
      </c>
      <c r="D5" s="278" t="s">
        <v>472</v>
      </c>
      <c r="E5" s="278" t="s">
        <v>471</v>
      </c>
      <c r="F5" s="277" t="s">
        <v>451</v>
      </c>
      <c r="G5" s="194"/>
      <c r="H5" s="284"/>
    </row>
    <row r="6" spans="1:8">
      <c r="A6" s="278">
        <v>4</v>
      </c>
      <c r="B6" s="278" t="s">
        <v>470</v>
      </c>
      <c r="C6" s="278" t="s">
        <v>469</v>
      </c>
      <c r="D6" s="283">
        <v>1.5</v>
      </c>
      <c r="E6" s="278" t="s">
        <v>468</v>
      </c>
      <c r="F6" s="277" t="s">
        <v>451</v>
      </c>
      <c r="G6" s="194"/>
    </row>
    <row r="7" spans="1:8" ht="15.6" customHeight="1">
      <c r="A7" s="278">
        <v>5</v>
      </c>
      <c r="B7" s="278" t="s">
        <v>467</v>
      </c>
      <c r="C7" s="278" t="s">
        <v>466</v>
      </c>
      <c r="D7" s="283">
        <v>5.7</v>
      </c>
      <c r="E7" s="278" t="s">
        <v>465</v>
      </c>
      <c r="F7" s="277" t="s">
        <v>451</v>
      </c>
      <c r="G7" s="194"/>
    </row>
    <row r="8" spans="1:8" ht="15.6" customHeight="1">
      <c r="A8" s="278">
        <v>6</v>
      </c>
      <c r="B8" s="278" t="s">
        <v>464</v>
      </c>
      <c r="C8" s="278" t="s">
        <v>463</v>
      </c>
      <c r="D8" s="278" t="s">
        <v>462</v>
      </c>
      <c r="E8" s="278" t="s">
        <v>461</v>
      </c>
      <c r="F8" s="277" t="s">
        <v>451</v>
      </c>
      <c r="G8" s="194"/>
    </row>
    <row r="9" spans="1:8">
      <c r="A9" s="281" t="s">
        <v>460</v>
      </c>
      <c r="B9" s="280"/>
      <c r="C9" s="280"/>
      <c r="D9" s="280"/>
      <c r="E9" s="280"/>
      <c r="F9" s="279"/>
      <c r="G9" s="194"/>
    </row>
    <row r="10" spans="1:8">
      <c r="A10" s="278">
        <v>7</v>
      </c>
      <c r="B10" s="278" t="s">
        <v>459</v>
      </c>
      <c r="C10" s="278" t="s">
        <v>458</v>
      </c>
      <c r="D10" s="278" t="s">
        <v>457</v>
      </c>
      <c r="E10" s="278" t="s">
        <v>456</v>
      </c>
      <c r="F10" s="277" t="s">
        <v>451</v>
      </c>
      <c r="G10" s="194"/>
    </row>
    <row r="11" spans="1:8">
      <c r="A11" s="282">
        <v>8</v>
      </c>
      <c r="B11" s="278" t="s">
        <v>455</v>
      </c>
      <c r="C11" s="278" t="s">
        <v>454</v>
      </c>
      <c r="D11" s="278" t="s">
        <v>453</v>
      </c>
      <c r="E11" s="278" t="s">
        <v>452</v>
      </c>
      <c r="F11" s="277" t="s">
        <v>451</v>
      </c>
      <c r="G11" s="194"/>
    </row>
    <row r="12" spans="1:8" ht="15.6" customHeight="1">
      <c r="A12" s="281" t="s">
        <v>32</v>
      </c>
      <c r="B12" s="280"/>
      <c r="C12" s="280"/>
      <c r="D12" s="280"/>
      <c r="E12" s="280"/>
      <c r="F12" s="279"/>
      <c r="G12" s="194"/>
    </row>
    <row r="13" spans="1:8">
      <c r="A13" s="278"/>
      <c r="B13" s="278"/>
      <c r="C13" s="278"/>
      <c r="D13" s="278"/>
      <c r="E13" s="278"/>
      <c r="F13" s="277"/>
      <c r="G13" s="194"/>
    </row>
    <row r="18" spans="2:2">
      <c r="B18" s="276"/>
    </row>
    <row r="19" spans="2:2">
      <c r="B19" s="275"/>
    </row>
    <row r="20" spans="2:2">
      <c r="B20" s="275"/>
    </row>
    <row r="21" spans="2:2">
      <c r="B21" s="275"/>
    </row>
    <row r="22" spans="2:2">
      <c r="B22" s="275"/>
    </row>
    <row r="23" spans="2:2">
      <c r="B23" s="275"/>
    </row>
    <row r="24" spans="2:2">
      <c r="B24" s="275"/>
    </row>
    <row r="25" spans="2:2">
      <c r="B25" s="275"/>
    </row>
    <row r="26" spans="2:2">
      <c r="B26" s="275"/>
    </row>
    <row r="27" spans="2:2">
      <c r="B27" s="275"/>
    </row>
    <row r="28" spans="2:2">
      <c r="B28" s="275"/>
    </row>
    <row r="29" spans="2:2">
      <c r="B29" s="275"/>
    </row>
    <row r="30" spans="2:2">
      <c r="B30" s="275"/>
    </row>
    <row r="32" spans="2:2">
      <c r="B32" s="276"/>
    </row>
    <row r="33" spans="2:2">
      <c r="B33" s="275"/>
    </row>
    <row r="34" spans="2:2">
      <c r="B34" s="275"/>
    </row>
    <row r="35" spans="2:2">
      <c r="B35" s="275"/>
    </row>
    <row r="36" spans="2:2">
      <c r="B36" s="275"/>
    </row>
    <row r="37" spans="2:2">
      <c r="B37" s="275"/>
    </row>
    <row r="38" spans="2:2">
      <c r="B38" s="275"/>
    </row>
    <row r="39" spans="2:2">
      <c r="B39" s="275"/>
    </row>
    <row r="40" spans="2:2">
      <c r="B40" s="275"/>
    </row>
    <row r="41" spans="2:2">
      <c r="B41" s="275"/>
    </row>
    <row r="42" spans="2:2">
      <c r="B42" s="275"/>
    </row>
  </sheetData>
  <mergeCells count="3">
    <mergeCell ref="A2:F2"/>
    <mergeCell ref="A12:F12"/>
    <mergeCell ref="A9:F9"/>
  </mergeCells>
  <pageMargins left="0.7" right="0.7" top="0.75" bottom="0.75" header="0.3" footer="0.3"/>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6"/>
  <sheetViews>
    <sheetView topLeftCell="A4" workbookViewId="0">
      <selection activeCell="D24" sqref="D24"/>
    </sheetView>
  </sheetViews>
  <sheetFormatPr defaultRowHeight="14.4"/>
  <cols>
    <col min="1" max="1" width="3" style="80" bestFit="1" customWidth="1"/>
    <col min="2" max="2" width="37.88671875" style="80" bestFit="1" customWidth="1"/>
    <col min="3" max="3" width="11" style="80" bestFit="1" customWidth="1"/>
    <col min="4" max="5" width="12" style="80" bestFit="1" customWidth="1"/>
    <col min="6" max="6" width="11.21875" style="80" bestFit="1" customWidth="1"/>
    <col min="7" max="7" width="11.109375" style="80" bestFit="1" customWidth="1"/>
    <col min="8" max="8" width="12" style="80" bestFit="1" customWidth="1"/>
    <col min="9" max="9" width="11.109375" style="80" bestFit="1" customWidth="1"/>
    <col min="10" max="10" width="12" style="80" bestFit="1" customWidth="1"/>
    <col min="11" max="11" width="11.109375" style="80" bestFit="1" customWidth="1"/>
    <col min="12" max="12" width="12" style="80" bestFit="1" customWidth="1"/>
    <col min="13" max="15" width="12.21875" style="80" bestFit="1" customWidth="1"/>
  </cols>
  <sheetData>
    <row r="1" spans="1:15">
      <c r="A1" s="78" t="s">
        <v>185</v>
      </c>
      <c r="B1" s="78" t="s">
        <v>186</v>
      </c>
      <c r="C1" s="78" t="s">
        <v>187</v>
      </c>
      <c r="D1" s="78" t="s">
        <v>188</v>
      </c>
      <c r="E1" s="78" t="s">
        <v>189</v>
      </c>
      <c r="F1" s="78" t="s">
        <v>190</v>
      </c>
      <c r="G1" s="78" t="s">
        <v>191</v>
      </c>
      <c r="H1" s="78" t="s">
        <v>192</v>
      </c>
      <c r="I1" s="78" t="s">
        <v>193</v>
      </c>
      <c r="J1" s="78" t="s">
        <v>194</v>
      </c>
      <c r="K1" s="78" t="s">
        <v>195</v>
      </c>
      <c r="L1" s="78" t="s">
        <v>196</v>
      </c>
      <c r="M1" s="78" t="s">
        <v>197</v>
      </c>
      <c r="N1" s="78" t="s">
        <v>198</v>
      </c>
      <c r="O1" s="78" t="s">
        <v>199</v>
      </c>
    </row>
    <row r="2" spans="1:15">
      <c r="A2" s="78">
        <v>1</v>
      </c>
      <c r="B2" s="78" t="s">
        <v>60</v>
      </c>
      <c r="C2" s="78">
        <v>630</v>
      </c>
      <c r="D2" s="78">
        <v>657</v>
      </c>
      <c r="E2" s="78">
        <v>668</v>
      </c>
      <c r="F2" s="78">
        <v>793</v>
      </c>
      <c r="G2" s="78">
        <f t="shared" ref="G2:G7" si="0">D2-C2</f>
        <v>27</v>
      </c>
      <c r="H2" s="78">
        <f t="shared" ref="H2:H7" si="1">D2/C2-1</f>
        <v>4.2857142857142927E-2</v>
      </c>
      <c r="I2" s="78">
        <f t="shared" ref="I2:I7" si="2">E2-C2</f>
        <v>38</v>
      </c>
      <c r="J2" s="78">
        <f t="shared" ref="J2:J7" si="3">E2/C2-1</f>
        <v>6.0317460317460325E-2</v>
      </c>
      <c r="K2" s="78">
        <f t="shared" ref="K2:K7" si="4">F2-C2</f>
        <v>163</v>
      </c>
      <c r="L2" s="78">
        <f t="shared" ref="L2:L7" si="5">F2/C2-1</f>
        <v>0.2587301587301587</v>
      </c>
      <c r="M2" s="78">
        <f>D2/$D$7</f>
        <v>0.10284909204758923</v>
      </c>
      <c r="N2" s="78">
        <f>E2/$E$7</f>
        <v>0.10366232153941651</v>
      </c>
      <c r="O2" s="78">
        <f>F2/$F$7</f>
        <v>0.11254612546125461</v>
      </c>
    </row>
    <row r="3" spans="1:15">
      <c r="A3" s="78">
        <v>2</v>
      </c>
      <c r="B3" s="78" t="s">
        <v>61</v>
      </c>
      <c r="C3" s="78">
        <v>2100</v>
      </c>
      <c r="D3" s="78">
        <v>2127</v>
      </c>
      <c r="E3" s="78">
        <v>2139</v>
      </c>
      <c r="F3" s="78">
        <v>2246</v>
      </c>
      <c r="G3" s="78">
        <f t="shared" si="0"/>
        <v>27</v>
      </c>
      <c r="H3" s="78">
        <f t="shared" si="1"/>
        <v>1.28571428571429E-2</v>
      </c>
      <c r="I3" s="78">
        <f t="shared" si="2"/>
        <v>39</v>
      </c>
      <c r="J3" s="78">
        <f t="shared" si="3"/>
        <v>1.8571428571428461E-2</v>
      </c>
      <c r="K3" s="78">
        <f t="shared" si="4"/>
        <v>146</v>
      </c>
      <c r="L3" s="78">
        <f t="shared" si="5"/>
        <v>6.9523809523809543E-2</v>
      </c>
      <c r="M3" s="78">
        <f>D3/$D$7</f>
        <v>0.33296806512210392</v>
      </c>
      <c r="N3" s="78">
        <f>E3/$E$7</f>
        <v>0.33193668528864062</v>
      </c>
      <c r="O3" s="78">
        <f>F3/$F$7</f>
        <v>0.31876241839341468</v>
      </c>
    </row>
    <row r="4" spans="1:15">
      <c r="A4" s="78">
        <v>3</v>
      </c>
      <c r="B4" s="78" t="s">
        <v>62</v>
      </c>
      <c r="C4" s="78">
        <v>750</v>
      </c>
      <c r="D4" s="78">
        <v>777</v>
      </c>
      <c r="E4" s="78">
        <v>788</v>
      </c>
      <c r="F4" s="78">
        <v>911</v>
      </c>
      <c r="G4" s="78">
        <f t="shared" si="0"/>
        <v>27</v>
      </c>
      <c r="H4" s="78">
        <f t="shared" si="1"/>
        <v>3.6000000000000032E-2</v>
      </c>
      <c r="I4" s="78">
        <f t="shared" si="2"/>
        <v>38</v>
      </c>
      <c r="J4" s="78">
        <f t="shared" si="3"/>
        <v>5.0666666666666638E-2</v>
      </c>
      <c r="K4" s="78">
        <f t="shared" si="4"/>
        <v>161</v>
      </c>
      <c r="L4" s="78">
        <f t="shared" si="5"/>
        <v>0.21466666666666656</v>
      </c>
      <c r="M4" s="78">
        <f>D4/$D$7</f>
        <v>0.12163431433938635</v>
      </c>
      <c r="N4" s="78">
        <f>E4/$E$7</f>
        <v>0.12228429546865301</v>
      </c>
      <c r="O4" s="78">
        <f>F4/$F$7</f>
        <v>0.12929321600908317</v>
      </c>
    </row>
    <row r="5" spans="1:15">
      <c r="A5" s="78">
        <v>4</v>
      </c>
      <c r="B5" s="78" t="s">
        <v>63</v>
      </c>
      <c r="C5" s="78">
        <v>2100</v>
      </c>
      <c r="D5" s="78">
        <v>2129</v>
      </c>
      <c r="E5" s="78">
        <v>2138</v>
      </c>
      <c r="F5" s="78">
        <v>2259</v>
      </c>
      <c r="G5" s="78">
        <f t="shared" si="0"/>
        <v>29</v>
      </c>
      <c r="H5" s="78">
        <f t="shared" si="1"/>
        <v>1.3809523809523716E-2</v>
      </c>
      <c r="I5" s="78">
        <f t="shared" si="2"/>
        <v>38</v>
      </c>
      <c r="J5" s="78">
        <f t="shared" si="3"/>
        <v>1.8095238095238164E-2</v>
      </c>
      <c r="K5" s="78">
        <f t="shared" si="4"/>
        <v>159</v>
      </c>
      <c r="L5" s="78">
        <f t="shared" si="5"/>
        <v>7.5714285714285623E-2</v>
      </c>
      <c r="M5" s="78">
        <f>D5/$D$7</f>
        <v>0.33328115216030058</v>
      </c>
      <c r="N5" s="78">
        <f>E5/$E$7</f>
        <v>0.33178150217256364</v>
      </c>
      <c r="O5" s="78">
        <f>F5/$F$7</f>
        <v>0.32060743684359921</v>
      </c>
    </row>
    <row r="6" spans="1:15">
      <c r="A6" s="78">
        <v>5</v>
      </c>
      <c r="B6" s="78" t="s">
        <v>64</v>
      </c>
      <c r="C6" s="78">
        <v>670</v>
      </c>
      <c r="D6" s="78">
        <v>698</v>
      </c>
      <c r="E6" s="78">
        <v>711</v>
      </c>
      <c r="F6" s="78">
        <v>837</v>
      </c>
      <c r="G6" s="78">
        <f t="shared" si="0"/>
        <v>28</v>
      </c>
      <c r="H6" s="78">
        <f t="shared" si="1"/>
        <v>4.179104477611939E-2</v>
      </c>
      <c r="I6" s="78">
        <f t="shared" si="2"/>
        <v>41</v>
      </c>
      <c r="J6" s="78">
        <f t="shared" si="3"/>
        <v>6.119402985074629E-2</v>
      </c>
      <c r="K6" s="78">
        <f t="shared" si="4"/>
        <v>167</v>
      </c>
      <c r="L6" s="78">
        <f t="shared" si="5"/>
        <v>0.24925373134328366</v>
      </c>
      <c r="M6" s="78">
        <f>D6/$D$7</f>
        <v>0.10926737633061991</v>
      </c>
      <c r="N6" s="78">
        <f>E6/$E$7</f>
        <v>0.11033519553072625</v>
      </c>
      <c r="O6" s="78">
        <f>F6/$F$7</f>
        <v>0.11879080329264831</v>
      </c>
    </row>
    <row r="7" spans="1:15">
      <c r="A7" s="78"/>
      <c r="B7" s="78" t="s">
        <v>200</v>
      </c>
      <c r="C7" s="78">
        <f>SUM(C2:C6)</f>
        <v>6250</v>
      </c>
      <c r="D7" s="78">
        <f>SUM(D2:D6)</f>
        <v>6388</v>
      </c>
      <c r="E7" s="78">
        <f>SUM(E2:E6)</f>
        <v>6444</v>
      </c>
      <c r="F7" s="78">
        <f>SUM(F2:F6)</f>
        <v>7046</v>
      </c>
      <c r="G7" s="78">
        <f t="shared" si="0"/>
        <v>138</v>
      </c>
      <c r="H7" s="78">
        <f t="shared" si="1"/>
        <v>2.20800000000001E-2</v>
      </c>
      <c r="I7" s="78">
        <f t="shared" si="2"/>
        <v>194</v>
      </c>
      <c r="J7" s="78">
        <f t="shared" si="3"/>
        <v>3.1039999999999957E-2</v>
      </c>
      <c r="K7" s="78">
        <f t="shared" si="4"/>
        <v>796</v>
      </c>
      <c r="L7" s="78">
        <f t="shared" si="5"/>
        <v>0.12735999999999992</v>
      </c>
      <c r="M7" s="78">
        <v>1</v>
      </c>
      <c r="N7" s="78">
        <v>1</v>
      </c>
      <c r="O7" s="78">
        <v>1</v>
      </c>
    </row>
    <row r="8" spans="1:15">
      <c r="A8" s="78"/>
      <c r="B8" s="78"/>
      <c r="C8" s="78"/>
      <c r="D8" s="78"/>
      <c r="E8" s="78"/>
      <c r="F8" s="78"/>
      <c r="G8" s="78"/>
      <c r="H8" s="78"/>
      <c r="I8" s="78"/>
      <c r="J8" s="78"/>
      <c r="K8" s="78"/>
      <c r="L8" s="78"/>
      <c r="M8" s="78"/>
      <c r="N8" s="78"/>
      <c r="O8" s="78"/>
    </row>
    <row r="9" spans="1:15">
      <c r="A9" s="78"/>
      <c r="B9" s="78" t="s">
        <v>159</v>
      </c>
      <c r="C9" s="78">
        <v>2022</v>
      </c>
      <c r="D9" s="78">
        <v>2023</v>
      </c>
      <c r="E9" s="78">
        <v>2024</v>
      </c>
      <c r="F9" s="78"/>
      <c r="G9" s="78"/>
      <c r="H9" s="78"/>
      <c r="I9" s="78"/>
      <c r="J9" s="78"/>
      <c r="K9" s="78"/>
      <c r="L9" s="78"/>
      <c r="M9" s="78"/>
      <c r="N9" s="78"/>
      <c r="O9" s="78"/>
    </row>
    <row r="10" spans="1:15">
      <c r="A10" s="78"/>
      <c r="B10" s="78" t="s">
        <v>201</v>
      </c>
      <c r="C10" s="78">
        <f>'Расход  на ед.п'!C13</f>
        <v>97.860645000000005</v>
      </c>
      <c r="D10" s="78">
        <f>'Расход  на ед.п'!H13</f>
        <v>94.054533000000006</v>
      </c>
      <c r="E10" s="78">
        <f>'Расход  на ед.п'!M13</f>
        <v>111.77145299999999</v>
      </c>
      <c r="F10" s="78"/>
      <c r="G10" s="78"/>
      <c r="H10" s="78"/>
      <c r="I10" s="78"/>
      <c r="J10" s="78"/>
      <c r="K10" s="78"/>
      <c r="L10" s="78"/>
      <c r="M10" s="78"/>
      <c r="N10" s="78"/>
      <c r="O10" s="78"/>
    </row>
    <row r="11" spans="1:15">
      <c r="A11" s="78"/>
      <c r="B11" s="78" t="s">
        <v>202</v>
      </c>
      <c r="C11" s="78">
        <f>C10/D7</f>
        <v>1.5319449749530371E-2</v>
      </c>
      <c r="D11" s="78">
        <f>D10/E7</f>
        <v>1.4595675512104283E-2</v>
      </c>
      <c r="E11" s="78">
        <f>E10/F7</f>
        <v>1.5863107152994604E-2</v>
      </c>
      <c r="F11" s="78"/>
      <c r="G11" s="78"/>
      <c r="H11" s="78"/>
      <c r="I11" s="78"/>
      <c r="J11" s="78"/>
      <c r="K11" s="78"/>
      <c r="L11" s="78"/>
      <c r="M11" s="78"/>
      <c r="N11" s="78"/>
      <c r="O11" s="78"/>
    </row>
    <row r="12" spans="1:15" ht="15" customHeight="1" thickBot="1"/>
    <row r="13" spans="1:15" ht="15" customHeight="1" thickBot="1">
      <c r="A13" s="74" t="s">
        <v>185</v>
      </c>
      <c r="B13" s="75" t="s">
        <v>203</v>
      </c>
      <c r="C13" s="75" t="s">
        <v>204</v>
      </c>
      <c r="D13" s="75" t="s">
        <v>205</v>
      </c>
      <c r="E13" s="75" t="s">
        <v>205</v>
      </c>
      <c r="F13" s="75" t="s">
        <v>205</v>
      </c>
    </row>
    <row r="14" spans="1:15" ht="15" customHeight="1" thickBot="1">
      <c r="A14" s="76"/>
      <c r="B14" s="77"/>
      <c r="C14" s="77" t="s">
        <v>49</v>
      </c>
      <c r="D14" s="77">
        <v>2022</v>
      </c>
      <c r="E14" s="77">
        <v>2023</v>
      </c>
      <c r="F14" s="77">
        <v>2024</v>
      </c>
    </row>
    <row r="15" spans="1:15" ht="15" customHeight="1" thickBot="1">
      <c r="A15" s="76">
        <v>1</v>
      </c>
      <c r="B15" s="77" t="s">
        <v>206</v>
      </c>
      <c r="C15" s="77">
        <v>630</v>
      </c>
      <c r="D15" s="77">
        <v>657</v>
      </c>
      <c r="E15" s="77">
        <v>668</v>
      </c>
      <c r="F15" s="77">
        <v>793</v>
      </c>
    </row>
    <row r="16" spans="1:15" ht="15" customHeight="1" thickBot="1">
      <c r="A16" s="76">
        <v>2</v>
      </c>
      <c r="B16" s="77" t="s">
        <v>207</v>
      </c>
      <c r="C16" s="77">
        <v>2100</v>
      </c>
      <c r="D16" s="77">
        <v>2127</v>
      </c>
      <c r="E16" s="77">
        <v>2139</v>
      </c>
      <c r="F16" s="77">
        <v>2246</v>
      </c>
    </row>
    <row r="17" spans="1:9" ht="15" customHeight="1" thickBot="1">
      <c r="A17" s="76">
        <v>3</v>
      </c>
      <c r="B17" s="77" t="s">
        <v>208</v>
      </c>
      <c r="C17" s="77">
        <v>750</v>
      </c>
      <c r="D17" s="77">
        <v>777</v>
      </c>
      <c r="E17" s="77">
        <v>788</v>
      </c>
      <c r="F17" s="77">
        <v>911</v>
      </c>
    </row>
    <row r="18" spans="1:9" ht="15" customHeight="1" thickBot="1">
      <c r="A18" s="76">
        <v>4</v>
      </c>
      <c r="B18" s="77" t="s">
        <v>209</v>
      </c>
      <c r="C18" s="77">
        <v>2100</v>
      </c>
      <c r="D18" s="77">
        <v>2129</v>
      </c>
      <c r="E18" s="77">
        <v>2138</v>
      </c>
      <c r="F18" s="77">
        <v>2259</v>
      </c>
    </row>
    <row r="19" spans="1:9" ht="15" customHeight="1" thickBot="1">
      <c r="A19" s="76">
        <v>5</v>
      </c>
      <c r="B19" s="77" t="s">
        <v>210</v>
      </c>
      <c r="C19" s="77">
        <v>670</v>
      </c>
      <c r="D19" s="77">
        <v>698</v>
      </c>
      <c r="E19" s="77">
        <v>711</v>
      </c>
      <c r="F19" s="77">
        <v>837</v>
      </c>
    </row>
    <row r="20" spans="1:9" ht="15" customHeight="1" thickBot="1"/>
    <row r="21" spans="1:9" ht="27" customHeight="1" thickBot="1">
      <c r="A21" s="74" t="s">
        <v>185</v>
      </c>
      <c r="B21" s="75" t="s">
        <v>211</v>
      </c>
      <c r="C21" s="75" t="s">
        <v>212</v>
      </c>
      <c r="D21" s="75" t="s">
        <v>213</v>
      </c>
      <c r="E21" s="75" t="s">
        <v>214</v>
      </c>
      <c r="F21" s="75" t="s">
        <v>215</v>
      </c>
      <c r="G21" s="75" t="s">
        <v>216</v>
      </c>
      <c r="H21" s="75" t="s">
        <v>217</v>
      </c>
      <c r="I21" s="75" t="s">
        <v>218</v>
      </c>
    </row>
    <row r="22" spans="1:9" ht="15" customHeight="1" thickBot="1">
      <c r="A22" s="76">
        <v>1</v>
      </c>
      <c r="B22" s="77" t="s">
        <v>219</v>
      </c>
      <c r="C22" s="77">
        <v>630</v>
      </c>
      <c r="D22" s="77">
        <v>657</v>
      </c>
      <c r="E22" s="77">
        <v>668</v>
      </c>
      <c r="F22" s="77">
        <v>793</v>
      </c>
      <c r="G22" s="77">
        <v>4.29</v>
      </c>
      <c r="H22" s="77">
        <v>6.03</v>
      </c>
      <c r="I22" s="77">
        <v>25.87</v>
      </c>
    </row>
    <row r="23" spans="1:9" ht="15" customHeight="1" thickBot="1">
      <c r="A23" s="76">
        <v>2</v>
      </c>
      <c r="B23" s="77" t="s">
        <v>220</v>
      </c>
      <c r="C23" s="77">
        <v>2100</v>
      </c>
      <c r="D23" s="77">
        <v>2127</v>
      </c>
      <c r="E23" s="77">
        <v>2139</v>
      </c>
      <c r="F23" s="77">
        <v>2246</v>
      </c>
      <c r="G23" s="77">
        <v>1.29</v>
      </c>
      <c r="H23" s="77">
        <v>1.86</v>
      </c>
      <c r="I23" s="77">
        <v>6.95</v>
      </c>
    </row>
    <row r="24" spans="1:9" ht="15" customHeight="1" thickBot="1">
      <c r="A24" s="76">
        <v>3</v>
      </c>
      <c r="B24" s="77" t="s">
        <v>221</v>
      </c>
      <c r="C24" s="77">
        <v>750</v>
      </c>
      <c r="D24" s="77">
        <v>777</v>
      </c>
      <c r="E24" s="77">
        <v>788</v>
      </c>
      <c r="F24" s="77">
        <v>911</v>
      </c>
      <c r="G24" s="77">
        <v>3.6</v>
      </c>
      <c r="H24" s="77">
        <v>5.07</v>
      </c>
      <c r="I24" s="77">
        <v>21.47</v>
      </c>
    </row>
    <row r="25" spans="1:9" ht="15" customHeight="1" thickBot="1">
      <c r="A25" s="76">
        <v>4</v>
      </c>
      <c r="B25" s="77" t="s">
        <v>222</v>
      </c>
      <c r="C25" s="77">
        <v>2100</v>
      </c>
      <c r="D25" s="77">
        <v>2129</v>
      </c>
      <c r="E25" s="77">
        <v>2138</v>
      </c>
      <c r="F25" s="77">
        <v>2259</v>
      </c>
      <c r="G25" s="77">
        <v>1.38</v>
      </c>
      <c r="H25" s="77">
        <v>1.81</v>
      </c>
      <c r="I25" s="77">
        <v>7.57</v>
      </c>
    </row>
    <row r="26" spans="1:9" ht="15" customHeight="1" thickBot="1">
      <c r="A26" s="76">
        <v>5</v>
      </c>
      <c r="B26" s="77" t="s">
        <v>223</v>
      </c>
      <c r="C26" s="77">
        <v>670</v>
      </c>
      <c r="D26" s="77">
        <v>698</v>
      </c>
      <c r="E26" s="77">
        <v>711</v>
      </c>
      <c r="F26" s="77">
        <v>837</v>
      </c>
      <c r="G26" s="77">
        <v>4.18</v>
      </c>
      <c r="H26" s="77">
        <v>6.12</v>
      </c>
      <c r="I26" s="77">
        <v>24.93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4"/>
  <sheetViews>
    <sheetView topLeftCell="A28" workbookViewId="0">
      <selection activeCell="J21" sqref="J21"/>
    </sheetView>
  </sheetViews>
  <sheetFormatPr defaultRowHeight="14.4"/>
  <cols>
    <col min="1" max="1" width="9.88671875" style="80" bestFit="1" customWidth="1"/>
    <col min="2" max="2" width="10.6640625" style="80" bestFit="1" customWidth="1"/>
    <col min="3" max="3" width="12.5546875" style="80" bestFit="1" customWidth="1"/>
    <col min="4" max="4" width="14.44140625" style="80" bestFit="1" customWidth="1"/>
    <col min="5" max="5" width="13.88671875" style="80" bestFit="1" customWidth="1"/>
    <col min="6" max="6" width="9.21875" style="80" bestFit="1" customWidth="1"/>
    <col min="7" max="7" width="11.6640625" style="80" bestFit="1" customWidth="1"/>
  </cols>
  <sheetData>
    <row r="1" spans="1:7" ht="16.2" customHeight="1" thickBot="1">
      <c r="A1" s="68">
        <v>2022</v>
      </c>
      <c r="B1" s="69" t="s">
        <v>224</v>
      </c>
      <c r="C1" s="69" t="s">
        <v>208</v>
      </c>
      <c r="D1" s="69" t="s">
        <v>209</v>
      </c>
      <c r="E1" s="69" t="s">
        <v>207</v>
      </c>
      <c r="F1" s="69" t="s">
        <v>210</v>
      </c>
      <c r="G1" s="69" t="s">
        <v>200</v>
      </c>
    </row>
    <row r="2" spans="1:7" ht="16.2" customHeight="1" thickBot="1">
      <c r="A2" s="70" t="s">
        <v>225</v>
      </c>
      <c r="B2" s="71">
        <v>260800</v>
      </c>
      <c r="C2" s="71">
        <v>2420</v>
      </c>
      <c r="D2" s="71">
        <v>4409</v>
      </c>
      <c r="E2" s="71">
        <v>17815</v>
      </c>
      <c r="F2" s="71">
        <v>30698</v>
      </c>
      <c r="G2" s="71">
        <v>316142</v>
      </c>
    </row>
    <row r="3" spans="1:7" ht="16.2" customHeight="1" thickBot="1">
      <c r="A3" s="70" t="s">
        <v>226</v>
      </c>
      <c r="B3" s="71">
        <v>209668</v>
      </c>
      <c r="C3" s="71">
        <v>4928</v>
      </c>
      <c r="D3" s="71">
        <v>11845</v>
      </c>
      <c r="E3" s="71">
        <v>15449</v>
      </c>
      <c r="F3" s="71">
        <v>48098</v>
      </c>
      <c r="G3" s="71">
        <v>289988</v>
      </c>
    </row>
    <row r="4" spans="1:7" ht="16.2" customHeight="1" thickBot="1">
      <c r="A4" s="70" t="s">
        <v>227</v>
      </c>
      <c r="B4" s="71">
        <v>224469</v>
      </c>
      <c r="C4" s="71">
        <v>3899</v>
      </c>
      <c r="D4" s="71">
        <v>7389</v>
      </c>
      <c r="E4" s="71">
        <v>103846</v>
      </c>
      <c r="F4" s="71">
        <v>70998</v>
      </c>
      <c r="G4" s="71">
        <v>410601</v>
      </c>
    </row>
    <row r="5" spans="1:7" ht="16.2" customHeight="1" thickBot="1">
      <c r="A5" s="70" t="s">
        <v>228</v>
      </c>
      <c r="B5" s="71">
        <v>331176</v>
      </c>
      <c r="C5" s="71">
        <v>56261</v>
      </c>
      <c r="D5" s="71">
        <v>27957</v>
      </c>
      <c r="E5" s="71">
        <v>21862</v>
      </c>
      <c r="F5" s="71">
        <v>41305</v>
      </c>
      <c r="G5" s="71">
        <v>478561</v>
      </c>
    </row>
    <row r="6" spans="1:7" ht="16.2" customHeight="1" thickBot="1">
      <c r="A6" s="70" t="s">
        <v>229</v>
      </c>
      <c r="B6" s="71">
        <v>134905</v>
      </c>
      <c r="C6" s="71">
        <v>160127</v>
      </c>
      <c r="D6" s="71">
        <v>41925</v>
      </c>
      <c r="E6" s="71">
        <v>22105</v>
      </c>
      <c r="F6" s="71">
        <v>53622</v>
      </c>
      <c r="G6" s="71">
        <v>412684</v>
      </c>
    </row>
    <row r="7" spans="1:7" ht="16.2" customHeight="1" thickBot="1">
      <c r="A7" s="70" t="s">
        <v>230</v>
      </c>
      <c r="B7" s="71">
        <v>250607</v>
      </c>
      <c r="C7" s="71">
        <v>29490</v>
      </c>
      <c r="D7" s="71">
        <v>9209</v>
      </c>
      <c r="E7" s="71">
        <v>12989</v>
      </c>
      <c r="F7" s="71">
        <v>42927</v>
      </c>
      <c r="G7" s="71">
        <v>345222</v>
      </c>
    </row>
    <row r="8" spans="1:7" ht="16.2" customHeight="1" thickBot="1">
      <c r="A8" s="70" t="s">
        <v>231</v>
      </c>
      <c r="B8" s="71">
        <v>71732</v>
      </c>
      <c r="C8" s="71">
        <v>102548</v>
      </c>
      <c r="D8" s="71">
        <v>34088</v>
      </c>
      <c r="E8" s="71">
        <v>14835</v>
      </c>
      <c r="F8" s="71">
        <v>40547</v>
      </c>
      <c r="G8" s="71">
        <v>263750</v>
      </c>
    </row>
    <row r="9" spans="1:7" ht="16.2" customHeight="1" thickBot="1">
      <c r="A9" s="70" t="s">
        <v>232</v>
      </c>
      <c r="B9" s="71">
        <v>118666</v>
      </c>
      <c r="C9" s="71">
        <v>121225</v>
      </c>
      <c r="D9" s="71">
        <v>21387</v>
      </c>
      <c r="E9" s="72">
        <v>0</v>
      </c>
      <c r="F9" s="71">
        <v>45053</v>
      </c>
      <c r="G9" s="71">
        <v>306331</v>
      </c>
    </row>
    <row r="10" spans="1:7" ht="16.2" customHeight="1" thickBot="1">
      <c r="A10" s="70" t="s">
        <v>233</v>
      </c>
      <c r="B10" s="71">
        <v>233469</v>
      </c>
      <c r="C10" s="71">
        <v>138300</v>
      </c>
      <c r="D10" s="71">
        <v>6690</v>
      </c>
      <c r="E10" s="71">
        <v>10126</v>
      </c>
      <c r="F10" s="71">
        <v>44747</v>
      </c>
      <c r="G10" s="71">
        <v>433332</v>
      </c>
    </row>
    <row r="11" spans="1:7" ht="16.2" customHeight="1" thickBot="1">
      <c r="A11" s="70" t="s">
        <v>234</v>
      </c>
      <c r="B11" s="71">
        <v>226198</v>
      </c>
      <c r="C11" s="71">
        <v>154672</v>
      </c>
      <c r="D11" s="71">
        <v>49956</v>
      </c>
      <c r="E11" s="71">
        <v>17334</v>
      </c>
      <c r="F11" s="71">
        <v>48148</v>
      </c>
      <c r="G11" s="71">
        <v>496308</v>
      </c>
    </row>
    <row r="12" spans="1:7" ht="16.2" customHeight="1" thickBot="1">
      <c r="A12" s="70" t="s">
        <v>235</v>
      </c>
      <c r="B12" s="71">
        <v>173685</v>
      </c>
      <c r="C12" s="71">
        <v>278144</v>
      </c>
      <c r="D12" s="71">
        <v>3150</v>
      </c>
      <c r="E12" s="71">
        <v>2370</v>
      </c>
      <c r="F12" s="71">
        <v>50397</v>
      </c>
      <c r="G12" s="71">
        <v>507746</v>
      </c>
    </row>
    <row r="13" spans="1:7" ht="16.2" customHeight="1" thickBot="1">
      <c r="A13" s="70" t="s">
        <v>236</v>
      </c>
      <c r="B13" s="71">
        <v>118565</v>
      </c>
      <c r="C13" s="71">
        <v>218250</v>
      </c>
      <c r="D13" s="71">
        <v>3825</v>
      </c>
      <c r="E13" s="72">
        <v>0</v>
      </c>
      <c r="F13" s="71">
        <v>70966</v>
      </c>
      <c r="G13" s="71">
        <v>411606</v>
      </c>
    </row>
    <row r="14" spans="1:7" ht="16.2" customHeight="1" thickBot="1">
      <c r="A14" s="70" t="s">
        <v>237</v>
      </c>
      <c r="B14" s="71">
        <v>2353940</v>
      </c>
      <c r="C14" s="73">
        <v>1270264</v>
      </c>
      <c r="D14" s="73">
        <v>221830</v>
      </c>
      <c r="E14" s="71">
        <v>238732</v>
      </c>
      <c r="F14" s="71">
        <v>587506</v>
      </c>
      <c r="G14" s="71">
        <v>4672270</v>
      </c>
    </row>
    <row r="15" spans="1:7" ht="15" customHeight="1" thickBot="1"/>
    <row r="16" spans="1:7" ht="16.2" customHeight="1" thickBot="1">
      <c r="A16" s="68">
        <v>2023</v>
      </c>
      <c r="B16" s="69" t="s">
        <v>224</v>
      </c>
      <c r="C16" s="69" t="s">
        <v>208</v>
      </c>
      <c r="D16" s="69" t="s">
        <v>209</v>
      </c>
      <c r="E16" s="69" t="s">
        <v>207</v>
      </c>
      <c r="F16" s="69" t="s">
        <v>210</v>
      </c>
      <c r="G16" s="69" t="s">
        <v>200</v>
      </c>
    </row>
    <row r="17" spans="1:7" ht="16.2" customHeight="1" thickBot="1">
      <c r="A17" s="70" t="s">
        <v>225</v>
      </c>
      <c r="B17" s="71">
        <v>255516</v>
      </c>
      <c r="C17" s="71">
        <v>5577</v>
      </c>
      <c r="D17" s="71">
        <v>25170</v>
      </c>
      <c r="E17" s="71">
        <v>16002</v>
      </c>
      <c r="F17" s="71">
        <v>48098</v>
      </c>
      <c r="G17" s="71">
        <v>350362</v>
      </c>
    </row>
    <row r="18" spans="1:7" ht="16.2" customHeight="1" thickBot="1">
      <c r="A18" s="70" t="s">
        <v>226</v>
      </c>
      <c r="B18" s="71">
        <v>299976</v>
      </c>
      <c r="C18" s="71">
        <v>38905</v>
      </c>
      <c r="D18" s="71">
        <v>54108</v>
      </c>
      <c r="E18" s="71">
        <v>78999</v>
      </c>
      <c r="F18" s="71">
        <v>43748</v>
      </c>
      <c r="G18" s="71">
        <v>515737</v>
      </c>
    </row>
    <row r="19" spans="1:7" ht="16.2" customHeight="1" thickBot="1">
      <c r="A19" s="70" t="s">
        <v>227</v>
      </c>
      <c r="B19" s="71">
        <v>339630</v>
      </c>
      <c r="C19" s="71">
        <v>114400</v>
      </c>
      <c r="D19" s="71">
        <v>11479</v>
      </c>
      <c r="E19" s="71">
        <v>31563</v>
      </c>
      <c r="F19" s="71">
        <v>37099</v>
      </c>
      <c r="G19" s="71">
        <v>534171</v>
      </c>
    </row>
    <row r="20" spans="1:7" ht="16.2" customHeight="1" thickBot="1">
      <c r="A20" s="70" t="s">
        <v>228</v>
      </c>
      <c r="B20" s="71">
        <v>352825</v>
      </c>
      <c r="C20" s="71">
        <v>87315</v>
      </c>
      <c r="D20" s="71">
        <v>6811</v>
      </c>
      <c r="E20" s="71">
        <v>28767</v>
      </c>
      <c r="F20" s="71">
        <v>45799</v>
      </c>
      <c r="G20" s="71">
        <v>521517</v>
      </c>
    </row>
    <row r="21" spans="1:7" ht="16.2" customHeight="1" thickBot="1">
      <c r="A21" s="70" t="s">
        <v>229</v>
      </c>
      <c r="B21" s="71">
        <v>300275</v>
      </c>
      <c r="C21" s="71">
        <v>119650</v>
      </c>
      <c r="D21" s="71">
        <v>65279</v>
      </c>
      <c r="E21" s="71">
        <v>20641</v>
      </c>
      <c r="F21" s="71">
        <v>34800</v>
      </c>
      <c r="G21" s="71">
        <v>540645</v>
      </c>
    </row>
    <row r="22" spans="1:7" ht="16.2" customHeight="1" thickBot="1">
      <c r="A22" s="70" t="s">
        <v>230</v>
      </c>
      <c r="B22" s="71">
        <v>228925</v>
      </c>
      <c r="C22" s="71">
        <v>114175</v>
      </c>
      <c r="D22" s="71">
        <v>48150</v>
      </c>
      <c r="E22" s="71">
        <v>2512</v>
      </c>
      <c r="F22" s="71">
        <v>79060</v>
      </c>
      <c r="G22" s="71">
        <v>472822</v>
      </c>
    </row>
    <row r="23" spans="1:7" ht="16.2" customHeight="1" thickBot="1">
      <c r="A23" s="70" t="s">
        <v>231</v>
      </c>
      <c r="B23" s="71">
        <v>434970</v>
      </c>
      <c r="C23" s="71">
        <v>32275</v>
      </c>
      <c r="D23" s="71">
        <v>6084</v>
      </c>
      <c r="E23" s="71">
        <v>19558</v>
      </c>
      <c r="F23" s="71">
        <v>42599</v>
      </c>
      <c r="G23" s="71">
        <v>535485</v>
      </c>
    </row>
    <row r="24" spans="1:7" ht="16.2" customHeight="1" thickBot="1">
      <c r="A24" s="70" t="s">
        <v>232</v>
      </c>
      <c r="B24" s="71">
        <v>331635</v>
      </c>
      <c r="C24" s="71">
        <v>162195</v>
      </c>
      <c r="D24" s="71">
        <v>10400</v>
      </c>
      <c r="E24" s="71">
        <v>28016</v>
      </c>
      <c r="F24" s="71">
        <v>39398</v>
      </c>
      <c r="G24" s="71">
        <v>571644</v>
      </c>
    </row>
    <row r="25" spans="1:7" ht="16.2" customHeight="1" thickBot="1">
      <c r="A25" s="70" t="s">
        <v>233</v>
      </c>
      <c r="B25" s="71">
        <v>240547</v>
      </c>
      <c r="C25" s="71">
        <v>179350</v>
      </c>
      <c r="D25" s="71">
        <v>30166</v>
      </c>
      <c r="E25" s="71">
        <v>46013</v>
      </c>
      <c r="F25" s="71">
        <v>55745</v>
      </c>
      <c r="G25" s="71">
        <v>551821</v>
      </c>
    </row>
    <row r="26" spans="1:7" ht="16.2" customHeight="1" thickBot="1">
      <c r="A26" s="70" t="s">
        <v>234</v>
      </c>
      <c r="B26" s="71">
        <v>404635</v>
      </c>
      <c r="C26" s="71">
        <v>85300</v>
      </c>
      <c r="D26" s="71">
        <v>7968</v>
      </c>
      <c r="E26" s="71">
        <v>16869</v>
      </c>
      <c r="F26" s="71">
        <v>59097</v>
      </c>
      <c r="G26" s="71">
        <v>573869</v>
      </c>
    </row>
    <row r="27" spans="1:7" ht="16.2" customHeight="1" thickBot="1">
      <c r="A27" s="70" t="s">
        <v>235</v>
      </c>
      <c r="B27" s="71">
        <v>390109</v>
      </c>
      <c r="C27" s="71">
        <v>94775</v>
      </c>
      <c r="D27" s="71">
        <v>41333</v>
      </c>
      <c r="E27" s="71">
        <v>8943</v>
      </c>
      <c r="F27" s="71">
        <v>48098</v>
      </c>
      <c r="G27" s="71">
        <v>583259</v>
      </c>
    </row>
    <row r="28" spans="1:7" ht="16.2" customHeight="1" thickBot="1">
      <c r="A28" s="70" t="s">
        <v>236</v>
      </c>
      <c r="B28" s="71">
        <v>270151</v>
      </c>
      <c r="C28" s="71">
        <v>91445</v>
      </c>
      <c r="D28" s="71">
        <v>11314</v>
      </c>
      <c r="E28" s="71">
        <v>10989</v>
      </c>
      <c r="F28" s="71">
        <v>44896</v>
      </c>
      <c r="G28" s="71">
        <v>428795</v>
      </c>
    </row>
    <row r="29" spans="1:7" ht="16.2" customHeight="1" thickBot="1">
      <c r="A29" s="70" t="s">
        <v>237</v>
      </c>
      <c r="B29" s="71">
        <v>3849193</v>
      </c>
      <c r="C29" s="71">
        <v>1125362</v>
      </c>
      <c r="D29" s="71">
        <v>318263</v>
      </c>
      <c r="E29" s="71">
        <v>308872</v>
      </c>
      <c r="F29" s="71">
        <v>578436</v>
      </c>
      <c r="G29" s="71">
        <v>6180127</v>
      </c>
    </row>
    <row r="30" spans="1:7" ht="15" customHeight="1" thickBot="1"/>
    <row r="31" spans="1:7" ht="16.2" customHeight="1" thickBot="1">
      <c r="A31" s="68">
        <v>2024</v>
      </c>
      <c r="B31" s="69" t="s">
        <v>224</v>
      </c>
      <c r="C31" s="69" t="s">
        <v>208</v>
      </c>
      <c r="D31" s="69" t="s">
        <v>209</v>
      </c>
      <c r="E31" s="69" t="s">
        <v>207</v>
      </c>
      <c r="F31" s="69" t="s">
        <v>210</v>
      </c>
      <c r="G31" s="69" t="s">
        <v>200</v>
      </c>
    </row>
    <row r="32" spans="1:7" ht="16.2" customHeight="1" thickBot="1">
      <c r="A32" s="70" t="s">
        <v>225</v>
      </c>
      <c r="B32" s="71">
        <v>204971</v>
      </c>
      <c r="C32" s="71">
        <v>48925</v>
      </c>
      <c r="D32" s="71">
        <v>37112</v>
      </c>
      <c r="E32" s="71">
        <v>69992</v>
      </c>
      <c r="F32" s="71">
        <v>39398</v>
      </c>
      <c r="G32" s="71">
        <v>400398</v>
      </c>
    </row>
    <row r="33" spans="1:7" ht="16.2" customHeight="1" thickBot="1">
      <c r="A33" s="70" t="s">
        <v>226</v>
      </c>
      <c r="B33" s="71">
        <v>216023</v>
      </c>
      <c r="C33" s="71">
        <v>108480</v>
      </c>
      <c r="D33" s="71">
        <v>96804</v>
      </c>
      <c r="E33" s="71">
        <v>29073</v>
      </c>
      <c r="F33" s="71">
        <v>37049</v>
      </c>
      <c r="G33" s="71">
        <v>487429</v>
      </c>
    </row>
    <row r="34" spans="1:7" ht="16.2" customHeight="1" thickBot="1">
      <c r="A34" s="70" t="s">
        <v>227</v>
      </c>
      <c r="B34" s="71">
        <v>190950</v>
      </c>
      <c r="C34" s="71">
        <v>72000</v>
      </c>
      <c r="D34" s="71">
        <v>75853</v>
      </c>
      <c r="E34" s="71">
        <v>17296</v>
      </c>
      <c r="F34" s="71">
        <v>16223</v>
      </c>
      <c r="G34" s="71">
        <v>372322</v>
      </c>
    </row>
    <row r="35" spans="1:7" ht="16.2" customHeight="1" thickBot="1">
      <c r="A35" s="70" t="s">
        <v>228</v>
      </c>
      <c r="B35" s="71">
        <v>181338</v>
      </c>
      <c r="C35" s="71">
        <v>114750</v>
      </c>
      <c r="D35" s="71">
        <v>1619</v>
      </c>
      <c r="E35" s="71">
        <v>24581</v>
      </c>
      <c r="F35" s="71">
        <v>21998</v>
      </c>
      <c r="G35" s="71">
        <v>344285</v>
      </c>
    </row>
    <row r="36" spans="1:7" ht="16.2" customHeight="1" thickBot="1">
      <c r="A36" s="70" t="s">
        <v>229</v>
      </c>
      <c r="B36" s="71">
        <v>321118</v>
      </c>
      <c r="C36" s="71">
        <v>48000</v>
      </c>
      <c r="D36" s="71">
        <v>27700</v>
      </c>
      <c r="E36" s="71">
        <v>22910</v>
      </c>
      <c r="F36" s="71">
        <v>66154</v>
      </c>
      <c r="G36" s="71">
        <v>485881</v>
      </c>
    </row>
    <row r="37" spans="1:7" ht="16.2" customHeight="1" thickBot="1">
      <c r="A37" s="70" t="s">
        <v>230</v>
      </c>
      <c r="B37" s="71">
        <v>173142</v>
      </c>
      <c r="C37" s="71">
        <v>110758</v>
      </c>
      <c r="D37" s="72">
        <v>389</v>
      </c>
      <c r="E37" s="71">
        <v>8254</v>
      </c>
      <c r="F37" s="71">
        <v>39398</v>
      </c>
      <c r="G37" s="71">
        <v>331942</v>
      </c>
    </row>
    <row r="38" spans="1:7" ht="16.2" customHeight="1" thickBot="1">
      <c r="A38" s="70" t="s">
        <v>231</v>
      </c>
      <c r="B38" s="71">
        <v>200400</v>
      </c>
      <c r="C38" s="71">
        <v>103075</v>
      </c>
      <c r="D38" s="71">
        <v>88124</v>
      </c>
      <c r="E38" s="71">
        <v>16340</v>
      </c>
      <c r="F38" s="71">
        <v>48098</v>
      </c>
      <c r="G38" s="71">
        <v>456037</v>
      </c>
    </row>
    <row r="39" spans="1:7" ht="16.2" customHeight="1" thickBot="1">
      <c r="A39" s="70" t="s">
        <v>232</v>
      </c>
      <c r="B39" s="71">
        <v>115190</v>
      </c>
      <c r="C39" s="71">
        <v>234450</v>
      </c>
      <c r="D39" s="71">
        <v>101255</v>
      </c>
      <c r="E39" s="72">
        <v>163</v>
      </c>
      <c r="F39" s="71">
        <v>67797</v>
      </c>
      <c r="G39" s="71">
        <v>518855</v>
      </c>
    </row>
    <row r="40" spans="1:7" ht="16.2" customHeight="1" thickBot="1">
      <c r="A40" s="70" t="s">
        <v>233</v>
      </c>
      <c r="B40" s="71">
        <v>205583</v>
      </c>
      <c r="C40" s="71">
        <v>199993</v>
      </c>
      <c r="D40" s="71">
        <v>11185</v>
      </c>
      <c r="E40" s="71">
        <v>27537</v>
      </c>
      <c r="F40" s="71">
        <v>64870</v>
      </c>
      <c r="G40" s="71">
        <v>509166</v>
      </c>
    </row>
    <row r="41" spans="1:7" ht="16.2" customHeight="1" thickBot="1">
      <c r="A41" s="70" t="s">
        <v>234</v>
      </c>
      <c r="B41" s="71">
        <v>247950</v>
      </c>
      <c r="C41" s="71">
        <v>198500</v>
      </c>
      <c r="D41" s="71">
        <v>71564</v>
      </c>
      <c r="E41" s="71">
        <v>10560</v>
      </c>
      <c r="F41" s="71">
        <v>59097</v>
      </c>
      <c r="G41" s="71">
        <v>587671</v>
      </c>
    </row>
    <row r="42" spans="1:7" ht="16.2" customHeight="1" thickBot="1">
      <c r="A42" s="70" t="s">
        <v>235</v>
      </c>
      <c r="B42" s="71">
        <v>190925</v>
      </c>
      <c r="C42" s="71">
        <v>144878</v>
      </c>
      <c r="D42" s="71">
        <v>101748</v>
      </c>
      <c r="E42" s="71">
        <v>3732</v>
      </c>
      <c r="F42" s="71">
        <v>59097</v>
      </c>
      <c r="G42" s="71">
        <v>500380</v>
      </c>
    </row>
    <row r="43" spans="1:7" ht="16.2" customHeight="1" thickBot="1">
      <c r="A43" s="70" t="s">
        <v>236</v>
      </c>
      <c r="B43" s="71">
        <v>281860</v>
      </c>
      <c r="C43" s="71">
        <v>103953</v>
      </c>
      <c r="D43" s="72">
        <v>167</v>
      </c>
      <c r="E43" s="71">
        <v>12537</v>
      </c>
      <c r="F43" s="71">
        <v>64597</v>
      </c>
      <c r="G43" s="71">
        <v>463113</v>
      </c>
    </row>
    <row r="44" spans="1:7" ht="16.2" customHeight="1" thickBot="1">
      <c r="A44" s="70" t="s">
        <v>237</v>
      </c>
      <c r="B44" s="72">
        <v>2324683</v>
      </c>
      <c r="C44" s="72">
        <v>1487762</v>
      </c>
      <c r="D44" s="71">
        <v>613519</v>
      </c>
      <c r="E44" s="71">
        <v>242976</v>
      </c>
      <c r="F44" s="71">
        <v>583775</v>
      </c>
      <c r="G44" s="72" t="s">
        <v>238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11</vt:i4>
      </vt:variant>
    </vt:vector>
  </HeadingPairs>
  <TitlesOfParts>
    <vt:vector size="11" baseType="lpstr">
      <vt:lpstr>Sheet1</vt:lpstr>
      <vt:lpstr>Узел учета </vt:lpstr>
      <vt:lpstr>Структура пр 2</vt:lpstr>
      <vt:lpstr>Баланс</vt:lpstr>
      <vt:lpstr>Динамика ср</vt:lpstr>
      <vt:lpstr>мазут,уголь 5 </vt:lpstr>
      <vt:lpstr>паспорт здание </vt:lpstr>
      <vt:lpstr>Расход  на ед.п</vt:lpstr>
      <vt:lpstr>Мероприятия</vt:lpstr>
      <vt:lpstr>Объемы продукции</vt:lpstr>
      <vt:lpstr>Продукция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DELL</cp:lastModifiedBy>
  <dcterms:created xsi:type="dcterms:W3CDTF">2025-07-08T11:01:00Z</dcterms:created>
  <dcterms:modified xsi:type="dcterms:W3CDTF">2025-11-21T02:25:39Z</dcterms:modified>
</cp:coreProperties>
</file>