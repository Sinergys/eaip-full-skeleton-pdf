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AUDIT\Audit in Sinergys\"/>
    </mc:Choice>
  </mc:AlternateContent>
  <xr:revisionPtr revIDLastSave="0" documentId="8_{E2701739-F26A-4195-B499-5E55B9816461}" xr6:coauthVersionLast="47" xr6:coauthVersionMax="47" xr10:uidLastSave="{00000000-0000-0000-0000-000000000000}"/>
  <bookViews>
    <workbookView xWindow="-108" yWindow="-108" windowWidth="23256" windowHeight="12456" tabRatio="601" xr2:uid="{AF06565E-6AEA-4F8A-A86B-44707893C53F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" i="1" l="1"/>
  <c r="P16" i="1"/>
  <c r="P12" i="1"/>
  <c r="P8" i="1"/>
  <c r="P62" i="1" l="1"/>
  <c r="P63" i="1" s="1"/>
  <c r="R61" i="1"/>
  <c r="P61" i="1"/>
  <c r="S61" i="1" s="1"/>
  <c r="P60" i="1"/>
  <c r="R59" i="1"/>
  <c r="P59" i="1"/>
  <c r="S59" i="1" s="1"/>
  <c r="P58" i="1"/>
  <c r="R57" i="1"/>
  <c r="P57" i="1"/>
  <c r="S57" i="1" s="1"/>
  <c r="P56" i="1"/>
  <c r="R55" i="1"/>
  <c r="P55" i="1"/>
  <c r="S55" i="1" s="1"/>
  <c r="R53" i="1"/>
  <c r="P53" i="1"/>
  <c r="S53" i="1" s="1"/>
  <c r="P52" i="1"/>
  <c r="P54" i="1" s="1"/>
  <c r="R51" i="1"/>
  <c r="P51" i="1"/>
  <c r="S51" i="1" s="1"/>
  <c r="P50" i="1"/>
  <c r="R49" i="1"/>
  <c r="P49" i="1"/>
  <c r="S49" i="1" s="1"/>
  <c r="P48" i="1"/>
  <c r="R48" i="1" s="1"/>
  <c r="R47" i="1"/>
  <c r="P47" i="1"/>
  <c r="S47" i="1" s="1"/>
  <c r="R40" i="1"/>
  <c r="S40" i="1" s="1"/>
  <c r="P40" i="1"/>
  <c r="P39" i="1"/>
  <c r="R38" i="1"/>
  <c r="S38" i="1" s="1"/>
  <c r="P38" i="1"/>
  <c r="R36" i="1"/>
  <c r="S36" i="1" s="1"/>
  <c r="P36" i="1"/>
  <c r="P35" i="1"/>
  <c r="R34" i="1"/>
  <c r="S34" i="1" s="1"/>
  <c r="P34" i="1"/>
  <c r="R32" i="1"/>
  <c r="S32" i="1" s="1"/>
  <c r="P32" i="1"/>
  <c r="P31" i="1"/>
  <c r="R30" i="1"/>
  <c r="S30" i="1" s="1"/>
  <c r="P30" i="1"/>
  <c r="R28" i="1"/>
  <c r="S28" i="1" s="1"/>
  <c r="P28" i="1"/>
  <c r="P27" i="1"/>
  <c r="R26" i="1"/>
  <c r="S26" i="1" s="1"/>
  <c r="P26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S9" i="1"/>
  <c r="S14" i="1"/>
  <c r="S15" i="1"/>
  <c r="S5" i="1"/>
  <c r="Q19" i="1"/>
  <c r="S19" i="1" s="1"/>
  <c r="Q18" i="1"/>
  <c r="S18" i="1" s="1"/>
  <c r="Q17" i="1"/>
  <c r="S17" i="1" s="1"/>
  <c r="Q15" i="1"/>
  <c r="Q14" i="1"/>
  <c r="Q13" i="1"/>
  <c r="S13" i="1" s="1"/>
  <c r="Q11" i="1"/>
  <c r="S11" i="1" s="1"/>
  <c r="Q10" i="1"/>
  <c r="Q12" i="1" s="1"/>
  <c r="Q9" i="1"/>
  <c r="Q6" i="1"/>
  <c r="S6" i="1" s="1"/>
  <c r="Q7" i="1"/>
  <c r="S7" i="1" s="1"/>
  <c r="Q5" i="1"/>
  <c r="T5" i="1" s="1"/>
  <c r="F35" i="1"/>
  <c r="F36" i="1"/>
  <c r="F34" i="1"/>
  <c r="D32" i="1"/>
  <c r="E33" i="1"/>
  <c r="F33" i="1" s="1"/>
  <c r="E32" i="1"/>
  <c r="F32" i="1" s="1"/>
  <c r="B46" i="1"/>
  <c r="B36" i="1"/>
  <c r="B35" i="1"/>
  <c r="B34" i="1"/>
  <c r="B37" i="1" s="1"/>
  <c r="C39" i="1" s="1"/>
  <c r="B33" i="1"/>
  <c r="B32" i="1"/>
  <c r="N29" i="1"/>
  <c r="N62" i="1"/>
  <c r="N41" i="1"/>
  <c r="O20" i="1"/>
  <c r="N58" i="1"/>
  <c r="N37" i="1"/>
  <c r="O16" i="1"/>
  <c r="O21" i="1" s="1"/>
  <c r="N54" i="1"/>
  <c r="N33" i="1"/>
  <c r="O12" i="1"/>
  <c r="S12" i="1" s="1"/>
  <c r="N50" i="1"/>
  <c r="O8" i="1"/>
  <c r="L16" i="1"/>
  <c r="E25" i="1"/>
  <c r="D25" i="1"/>
  <c r="E19" i="1"/>
  <c r="D19" i="1"/>
  <c r="C16" i="1"/>
  <c r="D16" i="1"/>
  <c r="E16" i="1"/>
  <c r="F16" i="1"/>
  <c r="G16" i="1"/>
  <c r="B16" i="1"/>
  <c r="I5" i="1"/>
  <c r="I6" i="1"/>
  <c r="I7" i="1"/>
  <c r="I8" i="1"/>
  <c r="I9" i="1"/>
  <c r="I10" i="1"/>
  <c r="I11" i="1"/>
  <c r="I12" i="1"/>
  <c r="I13" i="1"/>
  <c r="I14" i="1"/>
  <c r="I15" i="1"/>
  <c r="I4" i="1"/>
  <c r="H5" i="1"/>
  <c r="H6" i="1"/>
  <c r="H7" i="1"/>
  <c r="H8" i="1"/>
  <c r="H9" i="1"/>
  <c r="H10" i="1"/>
  <c r="H11" i="1"/>
  <c r="H12" i="1"/>
  <c r="H13" i="1"/>
  <c r="H14" i="1"/>
  <c r="H15" i="1"/>
  <c r="H4" i="1"/>
  <c r="S50" i="1" l="1"/>
  <c r="R54" i="1"/>
  <c r="S54" i="1"/>
  <c r="S63" i="1"/>
  <c r="R63" i="1"/>
  <c r="R50" i="1"/>
  <c r="R52" i="1"/>
  <c r="R56" i="1"/>
  <c r="S56" i="1" s="1"/>
  <c r="R58" i="1"/>
  <c r="S58" i="1" s="1"/>
  <c r="R60" i="1"/>
  <c r="S60" i="1" s="1"/>
  <c r="R62" i="1"/>
  <c r="S48" i="1"/>
  <c r="S52" i="1"/>
  <c r="S62" i="1"/>
  <c r="S31" i="1"/>
  <c r="S27" i="1"/>
  <c r="P29" i="1"/>
  <c r="P33" i="1"/>
  <c r="P37" i="1"/>
  <c r="P41" i="1"/>
  <c r="R27" i="1"/>
  <c r="R31" i="1"/>
  <c r="R35" i="1"/>
  <c r="S35" i="1" s="1"/>
  <c r="R39" i="1"/>
  <c r="S39" i="1" s="1"/>
  <c r="Q16" i="1"/>
  <c r="S10" i="1"/>
  <c r="Q8" i="1"/>
  <c r="S8" i="1" s="1"/>
  <c r="Q20" i="1"/>
  <c r="S20" i="1" s="1"/>
  <c r="N63" i="1"/>
  <c r="N42" i="1"/>
  <c r="F23" i="1"/>
  <c r="G23" i="1"/>
  <c r="I16" i="1"/>
  <c r="H16" i="1"/>
  <c r="P42" i="1" l="1"/>
  <c r="R41" i="1"/>
  <c r="S41" i="1" s="1"/>
  <c r="R33" i="1"/>
  <c r="S33" i="1" s="1"/>
  <c r="R29" i="1"/>
  <c r="S29" i="1" s="1"/>
  <c r="R37" i="1"/>
  <c r="S37" i="1" s="1"/>
  <c r="Q21" i="1"/>
  <c r="S21" i="1" s="1"/>
  <c r="S16" i="1"/>
  <c r="R42" i="1" l="1"/>
  <c r="S42" i="1" s="1"/>
</calcChain>
</file>

<file path=xl/sharedStrings.xml><?xml version="1.0" encoding="utf-8"?>
<sst xmlns="http://schemas.openxmlformats.org/spreadsheetml/2006/main" count="98" uniqueCount="42">
  <si>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</si>
  <si>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</si>
  <si>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</si>
  <si>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</si>
  <si>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</si>
  <si>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</si>
  <si>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</si>
  <si>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</si>
  <si>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</si>
  <si>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</si>
  <si>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</si>
  <si>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</si>
  <si>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сум</t>
  </si>
  <si>
    <t>м3</t>
  </si>
  <si>
    <t xml:space="preserve">сум </t>
  </si>
  <si>
    <t>итого</t>
  </si>
  <si>
    <t xml:space="preserve">Ноябрь </t>
  </si>
  <si>
    <t xml:space="preserve">Декабрь </t>
  </si>
  <si>
    <t xml:space="preserve">Январь </t>
  </si>
  <si>
    <t xml:space="preserve">Май </t>
  </si>
  <si>
    <t xml:space="preserve">Июнь </t>
  </si>
  <si>
    <t xml:space="preserve">Июль </t>
  </si>
  <si>
    <t>Ср м3</t>
  </si>
  <si>
    <t>Сумма</t>
  </si>
  <si>
    <t>Расчет потребление газа в отопляемые и неотопляемые дни</t>
  </si>
  <si>
    <t>Среднее за год</t>
  </si>
  <si>
    <t>Ср сум</t>
  </si>
  <si>
    <t>зз</t>
  </si>
  <si>
    <t>Отопл месяц</t>
  </si>
  <si>
    <t>Неотопл месяц</t>
  </si>
  <si>
    <t>Примерное потребление газа на отопление за год</t>
  </si>
  <si>
    <t>кв1</t>
  </si>
  <si>
    <t>кв2</t>
  </si>
  <si>
    <t>кв3</t>
  </si>
  <si>
    <t>кв4</t>
  </si>
  <si>
    <t>произ</t>
  </si>
  <si>
    <t>потря</t>
  </si>
  <si>
    <t>собст</t>
  </si>
  <si>
    <t>тех нудж</t>
  </si>
  <si>
    <t>собст нужд</t>
  </si>
  <si>
    <t>хоз.быт</t>
  </si>
  <si>
    <t>контрол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</si>
</sst>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</font>
    <font>
      <sz val="8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1" fillId="0" borderId="0" xfId="0" applyFont="1"/>
    <xf numFmtId="3" fontId="0" fillId="0" borderId="2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0" fillId="0" borderId="7" xfId="0" applyNumberFormat="1" applyBorder="1"/>
    <xf numFmtId="0" fontId="2" fillId="0" borderId="8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right"/>
    </xf>
    <xf numFmtId="3" fontId="0" fillId="0" borderId="9" xfId="0" applyNumberFormat="1" applyBorder="1"/>
    <xf numFmtId="1" fontId="0" fillId="0" borderId="10" xfId="0" applyNumberFormat="1" applyBorder="1"/>
    <xf numFmtId="0" fontId="0" fillId="0" borderId="7" xfId="0" applyFont="1" applyBorder="1"/>
    <xf numFmtId="0" fontId="0" fillId="0" borderId="9" xfId="0" applyFont="1" applyBorder="1"/>
    <xf numFmtId="0" fontId="0" fillId="0" borderId="10" xfId="0" applyFont="1" applyBorder="1"/>
    <xf numFmtId="0" fontId="1" fillId="0" borderId="0" xfId="0" applyFont="1" applyBorder="1" applyAlignment="1">
      <alignment horizontal="center"/>
    </xf>
    <xf numFmtId="3" fontId="0" fillId="0" borderId="0" xfId="0" applyNumberFormat="1"/>
    <xf numFmtId="3" fontId="3" fillId="0" borderId="0" xfId="0" applyNumberFormat="1" applyFont="1"/>
    <xf numFmtId="3" fontId="0" fillId="0" borderId="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3" xfId="0" applyNumberFormat="1" applyBorder="1" applyAlignment="1">
      <alignment horizontal="right"/>
    </xf>
    <xf numFmtId="0" fontId="0" fillId="0" borderId="0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3" fillId="0" borderId="1" xfId="0" applyNumberFormat="1" applyFont="1" applyBorder="1"/>
    <xf numFmtId="0" fontId="3" fillId="0" borderId="1" xfId="0" applyFont="1" applyBorder="1"/>
    <xf numFmtId="0" fontId="6" fillId="0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3" fontId="1" fillId="0" borderId="1" xfId="0" applyNumberFormat="1" applyFont="1" applyBorder="1"/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285B-E692-4E10-99B4-C6A80D6673E5}">
  <sheetPr>
    <pageSetUpPr fitToPage="1"/>
  </sheetPr>
  <dimension ref="A1:T63"/>
  <sheetViews>
    <sheetView tabSelected="1" topLeftCell="M13" zoomScale="145" zoomScaleNormal="145" workbookViewId="0">
      <selection activeCell="Q65" sqref="Q65"/>
    </sheetView>
  </sheetViews>
  <sheetFormatPr defaultRowHeight="14.4" x14ac:dyDescent="0.3"/>
  <cols>
    <col min="1" max="1" width="9.5546875" bestFit="1" customWidth="1"/>
    <col min="2" max="2" width="10.5546875" bestFit="1" customWidth="1"/>
    <col min="3" max="3" width="9.33203125" customWidth="1"/>
    <col min="4" max="4" width="10.5546875" bestFit="1" customWidth="1"/>
    <col min="5" max="5" width="9" bestFit="1" customWidth="1"/>
    <col min="6" max="6" width="10.5546875" bestFit="1" customWidth="1"/>
    <col min="7" max="7" width="9" bestFit="1" customWidth="1"/>
    <col min="8" max="8" width="10.5546875" bestFit="1" customWidth="1"/>
    <col min="9" max="9" width="7.44140625" customWidth="1"/>
    <col min="17" max="17" width="11.33203125" customWidth="1"/>
    <col min="19" max="19" width="8" bestFit="1" customWidth="1"/>
  </cols>
  <sheetData>
    <row r="1" spans="1:20" x14ac:dyDescent="0.3">
      <c r="A1" s="51" t="s">
        <v>24</v>
      </c>
      <c r="B1" s="51"/>
      <c r="C1" s="51"/>
      <c r="D1" s="51"/>
      <c r="E1" s="51"/>
      <c r="F1" s="51"/>
      <c r="G1" s="51"/>
      <c r="H1" s="51"/>
      <c r="I1" s="51"/>
      <c r="J1" s="51"/>
    </row>
    <row r="2" spans="1:20" ht="15.6" customHeight="1" thickBot="1" x14ac:dyDescent="0.35">
      <c r="B2" s="50">
        <v>2022</v>
      </c>
      <c r="C2" s="50"/>
      <c r="D2" s="50">
        <v>2023</v>
      </c>
      <c r="E2" s="50"/>
      <c r="F2" s="50">
        <v>2024</v>
      </c>
      <c r="G2" s="50"/>
      <c r="H2" s="52" t="s">
        <v>25</v>
      </c>
      <c r="I2" s="52"/>
      <c r="N2" s="51" t="s">
        <v>24</v>
      </c>
      <c r="O2" s="51"/>
      <c r="P2" s="51"/>
      <c r="Q2" s="51"/>
      <c r="R2" s="51"/>
    </row>
    <row r="3" spans="1:20" x14ac:dyDescent="0.3">
      <c r="A3" s="9"/>
      <c r="B3" s="19" t="s">
        <v>12</v>
      </c>
      <c r="C3" s="19" t="s">
        <v>13</v>
      </c>
      <c r="D3" s="19" t="s">
        <v>12</v>
      </c>
      <c r="E3" s="19" t="s">
        <v>13</v>
      </c>
      <c r="F3" s="19" t="s">
        <v>12</v>
      </c>
      <c r="G3" s="19" t="s">
        <v>13</v>
      </c>
      <c r="H3" s="19" t="s">
        <v>14</v>
      </c>
      <c r="I3" s="20" t="s">
        <v>13</v>
      </c>
      <c r="N3" s="1"/>
      <c r="O3" s="38">
        <v>22</v>
      </c>
      <c r="P3" s="1" t="s">
        <v>35</v>
      </c>
      <c r="Q3" s="1" t="s">
        <v>36</v>
      </c>
      <c r="R3" s="1" t="s">
        <v>37</v>
      </c>
      <c r="S3" s="1"/>
      <c r="T3" s="1"/>
    </row>
    <row r="4" spans="1:20" x14ac:dyDescent="0.3">
      <c r="A4" s="21" t="s">
        <v>0</v>
      </c>
      <c r="B4" s="4">
        <v>3066360</v>
      </c>
      <c r="C4" s="5">
        <v>4646</v>
      </c>
      <c r="D4" s="5">
        <v>4439160</v>
      </c>
      <c r="E4" s="5">
        <v>6726</v>
      </c>
      <c r="F4" s="5">
        <v>11343000</v>
      </c>
      <c r="G4" s="5">
        <v>7562</v>
      </c>
      <c r="H4" s="1">
        <f>(B4+D4+F4)/3</f>
        <v>6282840</v>
      </c>
      <c r="I4" s="22">
        <f>(C4+E4+G4)/3</f>
        <v>6311.333333333333</v>
      </c>
      <c r="N4" s="1"/>
      <c r="O4" s="39" t="s">
        <v>13</v>
      </c>
      <c r="P4" s="40" t="s">
        <v>38</v>
      </c>
      <c r="Q4" s="40" t="s">
        <v>39</v>
      </c>
      <c r="R4" s="40" t="s">
        <v>35</v>
      </c>
      <c r="S4" s="40" t="s">
        <v>40</v>
      </c>
      <c r="T4" s="40" t="s">
        <v>41</v>
      </c>
    </row>
    <row r="5" spans="1:20" x14ac:dyDescent="0.3">
      <c r="A5" s="21" t="s">
        <v>1</v>
      </c>
      <c r="B5" s="4">
        <v>4423980</v>
      </c>
      <c r="C5" s="5">
        <v>6703</v>
      </c>
      <c r="D5" s="5">
        <v>4212120</v>
      </c>
      <c r="E5" s="5">
        <v>6382</v>
      </c>
      <c r="F5" s="5">
        <v>13251000</v>
      </c>
      <c r="G5" s="5">
        <v>8834</v>
      </c>
      <c r="H5" s="1">
        <f t="shared" ref="H5:H15" si="0">(B5+D5+F5)/3</f>
        <v>7295700</v>
      </c>
      <c r="I5" s="22">
        <f t="shared" ref="I5:I15" si="1">(C5+E5+G5)/3</f>
        <v>7306.333333333333</v>
      </c>
      <c r="N5" s="41" t="s">
        <v>0</v>
      </c>
      <c r="O5" s="5">
        <v>4646</v>
      </c>
      <c r="P5" s="1">
        <v>0</v>
      </c>
      <c r="Q5" s="1">
        <f>14.4*30</f>
        <v>432</v>
      </c>
      <c r="R5" s="1">
        <v>0</v>
      </c>
      <c r="S5" s="33">
        <f>O5-Q5</f>
        <v>4214</v>
      </c>
      <c r="T5" s="33">
        <f>P5+Q5+R5+S5</f>
        <v>4646</v>
      </c>
    </row>
    <row r="6" spans="1:20" x14ac:dyDescent="0.3">
      <c r="A6" s="21" t="s">
        <v>2</v>
      </c>
      <c r="B6" s="4">
        <v>2849880</v>
      </c>
      <c r="C6" s="5">
        <v>4318</v>
      </c>
      <c r="D6" s="5">
        <v>1129260</v>
      </c>
      <c r="E6" s="5">
        <v>1711</v>
      </c>
      <c r="F6" s="5">
        <v>8523000</v>
      </c>
      <c r="G6" s="5">
        <v>5682</v>
      </c>
      <c r="H6" s="1">
        <f t="shared" si="0"/>
        <v>4167380</v>
      </c>
      <c r="I6" s="22">
        <f t="shared" si="1"/>
        <v>3903.6666666666665</v>
      </c>
      <c r="N6" s="41" t="s">
        <v>1</v>
      </c>
      <c r="O6" s="5">
        <v>6703</v>
      </c>
      <c r="P6" s="1">
        <v>0</v>
      </c>
      <c r="Q6" s="1">
        <f t="shared" ref="Q6:Q7" si="2">14.4*30</f>
        <v>432</v>
      </c>
      <c r="R6" s="1">
        <v>0</v>
      </c>
      <c r="S6" s="33">
        <f t="shared" ref="S6:S21" si="3">O6-Q6</f>
        <v>6271</v>
      </c>
      <c r="T6" s="33">
        <f t="shared" ref="T6:T21" si="4">P6+Q6+R6+S6</f>
        <v>6703</v>
      </c>
    </row>
    <row r="7" spans="1:20" x14ac:dyDescent="0.3">
      <c r="A7" s="21" t="s">
        <v>3</v>
      </c>
      <c r="B7" s="4">
        <v>1293600</v>
      </c>
      <c r="C7" s="5">
        <v>1960</v>
      </c>
      <c r="D7" s="5">
        <v>1079100</v>
      </c>
      <c r="E7" s="5">
        <v>1635</v>
      </c>
      <c r="F7" s="5">
        <v>1320000</v>
      </c>
      <c r="G7" s="5">
        <v>880</v>
      </c>
      <c r="H7" s="1">
        <f t="shared" si="0"/>
        <v>1230900</v>
      </c>
      <c r="I7" s="22">
        <f t="shared" si="1"/>
        <v>1491.6666666666667</v>
      </c>
      <c r="N7" s="41" t="s">
        <v>2</v>
      </c>
      <c r="O7" s="5">
        <v>4318</v>
      </c>
      <c r="P7" s="1">
        <v>0</v>
      </c>
      <c r="Q7" s="1">
        <f t="shared" si="2"/>
        <v>432</v>
      </c>
      <c r="R7" s="1">
        <v>0</v>
      </c>
      <c r="S7" s="33">
        <f t="shared" si="3"/>
        <v>3886</v>
      </c>
      <c r="T7" s="33">
        <f t="shared" si="4"/>
        <v>4318</v>
      </c>
    </row>
    <row r="8" spans="1:20" x14ac:dyDescent="0.3">
      <c r="A8" s="21" t="s">
        <v>4</v>
      </c>
      <c r="B8" s="4">
        <v>617760</v>
      </c>
      <c r="C8" s="5">
        <v>936</v>
      </c>
      <c r="D8" s="5">
        <v>647460</v>
      </c>
      <c r="E8" s="5">
        <v>981</v>
      </c>
      <c r="F8" s="5">
        <v>1422000</v>
      </c>
      <c r="G8" s="5">
        <v>948</v>
      </c>
      <c r="H8" s="1">
        <f t="shared" si="0"/>
        <v>895740</v>
      </c>
      <c r="I8" s="22">
        <f t="shared" si="1"/>
        <v>955</v>
      </c>
      <c r="N8" s="42" t="s">
        <v>31</v>
      </c>
      <c r="O8" s="43">
        <f>SUM(O5:O7)</f>
        <v>15667</v>
      </c>
      <c r="P8" s="43">
        <f>SUM(P5:P7)</f>
        <v>0</v>
      </c>
      <c r="Q8" s="43">
        <f>SUM(Q5:Q7)</f>
        <v>1296</v>
      </c>
      <c r="R8" s="44"/>
      <c r="S8" s="43">
        <f t="shared" si="3"/>
        <v>14371</v>
      </c>
      <c r="T8" s="33">
        <f t="shared" si="4"/>
        <v>15667</v>
      </c>
    </row>
    <row r="9" spans="1:20" x14ac:dyDescent="0.3">
      <c r="A9" s="21" t="s">
        <v>5</v>
      </c>
      <c r="B9" s="4">
        <v>554400</v>
      </c>
      <c r="C9" s="5">
        <v>840</v>
      </c>
      <c r="D9" s="5">
        <v>505560</v>
      </c>
      <c r="E9" s="5">
        <v>766</v>
      </c>
      <c r="F9" s="5">
        <v>1320000</v>
      </c>
      <c r="G9" s="5">
        <v>880</v>
      </c>
      <c r="H9" s="1">
        <f t="shared" si="0"/>
        <v>793320</v>
      </c>
      <c r="I9" s="22">
        <f t="shared" si="1"/>
        <v>828.66666666666663</v>
      </c>
      <c r="N9" s="41" t="s">
        <v>3</v>
      </c>
      <c r="O9" s="5">
        <v>1960</v>
      </c>
      <c r="P9" s="1">
        <v>0</v>
      </c>
      <c r="Q9" s="1">
        <f>14.4*30</f>
        <v>432</v>
      </c>
      <c r="R9" s="1">
        <v>0</v>
      </c>
      <c r="S9" s="33">
        <f t="shared" si="3"/>
        <v>1528</v>
      </c>
      <c r="T9" s="33">
        <f t="shared" si="4"/>
        <v>1960</v>
      </c>
    </row>
    <row r="10" spans="1:20" x14ac:dyDescent="0.3">
      <c r="A10" s="21" t="s">
        <v>6</v>
      </c>
      <c r="B10" s="4">
        <v>545160</v>
      </c>
      <c r="C10" s="5">
        <v>826</v>
      </c>
      <c r="D10" s="5">
        <v>669900</v>
      </c>
      <c r="E10" s="5">
        <v>1015</v>
      </c>
      <c r="F10" s="5">
        <v>1477500</v>
      </c>
      <c r="G10" s="5">
        <v>985</v>
      </c>
      <c r="H10" s="1">
        <f t="shared" si="0"/>
        <v>897520</v>
      </c>
      <c r="I10" s="22">
        <f t="shared" si="1"/>
        <v>942</v>
      </c>
      <c r="N10" s="41" t="s">
        <v>4</v>
      </c>
      <c r="O10" s="5">
        <v>936</v>
      </c>
      <c r="P10" s="1">
        <v>0</v>
      </c>
      <c r="Q10" s="1">
        <f t="shared" ref="Q10:Q11" si="5">14.4*30</f>
        <v>432</v>
      </c>
      <c r="R10" s="1">
        <v>0</v>
      </c>
      <c r="S10" s="33">
        <f t="shared" si="3"/>
        <v>504</v>
      </c>
      <c r="T10" s="33">
        <f t="shared" si="4"/>
        <v>936</v>
      </c>
    </row>
    <row r="11" spans="1:20" x14ac:dyDescent="0.3">
      <c r="A11" s="21" t="s">
        <v>7</v>
      </c>
      <c r="B11" s="4">
        <v>568920</v>
      </c>
      <c r="C11" s="5">
        <v>862</v>
      </c>
      <c r="D11" s="5">
        <v>4307821</v>
      </c>
      <c r="E11" s="5">
        <v>946</v>
      </c>
      <c r="F11" s="5">
        <v>1102500</v>
      </c>
      <c r="G11" s="5">
        <v>735</v>
      </c>
      <c r="H11" s="2">
        <f t="shared" si="0"/>
        <v>1993080.3333333333</v>
      </c>
      <c r="I11" s="22">
        <f t="shared" si="1"/>
        <v>847.66666666666663</v>
      </c>
      <c r="N11" s="41" t="s">
        <v>5</v>
      </c>
      <c r="O11" s="5">
        <v>840</v>
      </c>
      <c r="P11" s="1">
        <v>0</v>
      </c>
      <c r="Q11" s="1">
        <f t="shared" si="5"/>
        <v>432</v>
      </c>
      <c r="R11" s="1">
        <v>0</v>
      </c>
      <c r="S11" s="33">
        <f t="shared" si="3"/>
        <v>408</v>
      </c>
      <c r="T11" s="33">
        <f t="shared" si="4"/>
        <v>840</v>
      </c>
    </row>
    <row r="12" spans="1:20" x14ac:dyDescent="0.3">
      <c r="A12" s="21" t="s">
        <v>8</v>
      </c>
      <c r="B12" s="4">
        <v>527340</v>
      </c>
      <c r="C12" s="5">
        <v>799</v>
      </c>
      <c r="D12" s="5">
        <v>594660</v>
      </c>
      <c r="E12" s="5">
        <v>901</v>
      </c>
      <c r="F12" s="5">
        <v>676500</v>
      </c>
      <c r="G12" s="5">
        <v>451</v>
      </c>
      <c r="H12" s="1">
        <f t="shared" si="0"/>
        <v>599500</v>
      </c>
      <c r="I12" s="22">
        <f t="shared" si="1"/>
        <v>717</v>
      </c>
      <c r="N12" s="42" t="s">
        <v>32</v>
      </c>
      <c r="O12" s="43">
        <f>SUM(O9:O11)</f>
        <v>3736</v>
      </c>
      <c r="P12" s="43">
        <f>SUM(P9:P11)</f>
        <v>0</v>
      </c>
      <c r="Q12" s="43">
        <f>SUM(Q9:Q11)</f>
        <v>1296</v>
      </c>
      <c r="R12" s="44"/>
      <c r="S12" s="43">
        <f t="shared" si="3"/>
        <v>2440</v>
      </c>
      <c r="T12" s="33">
        <f t="shared" si="4"/>
        <v>3736</v>
      </c>
    </row>
    <row r="13" spans="1:20" x14ac:dyDescent="0.3">
      <c r="A13" s="21" t="s">
        <v>9</v>
      </c>
      <c r="B13" s="4">
        <v>438240</v>
      </c>
      <c r="C13" s="5">
        <v>664</v>
      </c>
      <c r="D13" s="5">
        <v>844800</v>
      </c>
      <c r="E13" s="5">
        <v>1280</v>
      </c>
      <c r="F13" s="5">
        <v>669000</v>
      </c>
      <c r="G13" s="5">
        <v>446</v>
      </c>
      <c r="H13" s="1">
        <f t="shared" si="0"/>
        <v>650680</v>
      </c>
      <c r="I13" s="22">
        <f t="shared" si="1"/>
        <v>796.66666666666663</v>
      </c>
      <c r="N13" s="41" t="s">
        <v>6</v>
      </c>
      <c r="O13" s="5">
        <v>826</v>
      </c>
      <c r="P13" s="1">
        <v>0</v>
      </c>
      <c r="Q13" s="1">
        <f>14.4*30</f>
        <v>432</v>
      </c>
      <c r="R13" s="1">
        <v>0</v>
      </c>
      <c r="S13" s="33">
        <f t="shared" si="3"/>
        <v>394</v>
      </c>
      <c r="T13" s="33">
        <f t="shared" si="4"/>
        <v>826</v>
      </c>
    </row>
    <row r="14" spans="1:20" x14ac:dyDescent="0.3">
      <c r="A14" s="21" t="s">
        <v>10</v>
      </c>
      <c r="B14" s="4">
        <v>1902120</v>
      </c>
      <c r="C14" s="5">
        <v>2882</v>
      </c>
      <c r="D14" s="5">
        <v>6363000</v>
      </c>
      <c r="E14" s="5">
        <v>4242</v>
      </c>
      <c r="F14" s="5">
        <v>5469000</v>
      </c>
      <c r="G14" s="5">
        <v>3646</v>
      </c>
      <c r="H14" s="1">
        <f t="shared" si="0"/>
        <v>4578040</v>
      </c>
      <c r="I14" s="22">
        <f t="shared" si="1"/>
        <v>3590</v>
      </c>
      <c r="N14" s="41" t="s">
        <v>7</v>
      </c>
      <c r="O14" s="5">
        <v>862</v>
      </c>
      <c r="P14" s="1">
        <v>0</v>
      </c>
      <c r="Q14" s="1">
        <f t="shared" ref="Q14:Q15" si="6">14.4*30</f>
        <v>432</v>
      </c>
      <c r="R14" s="1">
        <v>0</v>
      </c>
      <c r="S14" s="33">
        <f t="shared" si="3"/>
        <v>430</v>
      </c>
      <c r="T14" s="33">
        <f t="shared" si="4"/>
        <v>862</v>
      </c>
    </row>
    <row r="15" spans="1:20" x14ac:dyDescent="0.3">
      <c r="A15" s="21" t="s">
        <v>11</v>
      </c>
      <c r="B15" s="4">
        <v>3613500</v>
      </c>
      <c r="C15" s="5">
        <v>5475</v>
      </c>
      <c r="D15" s="5">
        <v>8497500</v>
      </c>
      <c r="E15" s="5">
        <v>5665</v>
      </c>
      <c r="F15" s="5">
        <v>11584200</v>
      </c>
      <c r="G15" s="5">
        <v>7710</v>
      </c>
      <c r="H15" s="1">
        <f t="shared" si="0"/>
        <v>7898400</v>
      </c>
      <c r="I15" s="22">
        <f t="shared" si="1"/>
        <v>6283.333333333333</v>
      </c>
      <c r="N15" s="41" t="s">
        <v>8</v>
      </c>
      <c r="O15" s="5">
        <v>799</v>
      </c>
      <c r="P15" s="1">
        <v>0</v>
      </c>
      <c r="Q15" s="1">
        <f t="shared" si="6"/>
        <v>432</v>
      </c>
      <c r="R15" s="1">
        <v>0</v>
      </c>
      <c r="S15" s="33">
        <f t="shared" si="3"/>
        <v>367</v>
      </c>
      <c r="T15" s="33">
        <f t="shared" si="4"/>
        <v>799</v>
      </c>
    </row>
    <row r="16" spans="1:20" ht="15" thickBot="1" x14ac:dyDescent="0.35">
      <c r="A16" s="23" t="s">
        <v>15</v>
      </c>
      <c r="B16" s="24">
        <f>SUM(B4:B15)</f>
        <v>20401260</v>
      </c>
      <c r="C16" s="24">
        <f t="shared" ref="C16:I16" si="7">SUM(C4:C15)</f>
        <v>30911</v>
      </c>
      <c r="D16" s="24">
        <f t="shared" si="7"/>
        <v>33290341</v>
      </c>
      <c r="E16" s="24">
        <f t="shared" si="7"/>
        <v>32250</v>
      </c>
      <c r="F16" s="24">
        <f t="shared" si="7"/>
        <v>58157700</v>
      </c>
      <c r="G16" s="24">
        <f t="shared" si="7"/>
        <v>38759</v>
      </c>
      <c r="H16" s="25">
        <f t="shared" si="7"/>
        <v>37283100.333333328</v>
      </c>
      <c r="I16" s="26">
        <f t="shared" si="7"/>
        <v>33973.333333333336</v>
      </c>
      <c r="L16">
        <f>25*150</f>
        <v>3750</v>
      </c>
      <c r="N16" s="42" t="s">
        <v>33</v>
      </c>
      <c r="O16" s="43">
        <f>SUM(O13:O15)</f>
        <v>2487</v>
      </c>
      <c r="P16" s="43">
        <f>SUM(P13:P15)</f>
        <v>0</v>
      </c>
      <c r="Q16" s="43">
        <f>SUM(Q13:Q15)</f>
        <v>1296</v>
      </c>
      <c r="R16" s="44"/>
      <c r="S16" s="43">
        <f t="shared" si="3"/>
        <v>1191</v>
      </c>
      <c r="T16" s="33">
        <f t="shared" si="4"/>
        <v>2487</v>
      </c>
    </row>
    <row r="17" spans="1:20" x14ac:dyDescent="0.3">
      <c r="A17" s="17"/>
      <c r="B17" s="18"/>
      <c r="C17" s="18"/>
      <c r="N17" s="41" t="s">
        <v>9</v>
      </c>
      <c r="O17" s="5">
        <v>664</v>
      </c>
      <c r="P17" s="1">
        <v>0</v>
      </c>
      <c r="Q17" s="1">
        <f>14.4*30</f>
        <v>432</v>
      </c>
      <c r="R17" s="1">
        <v>0</v>
      </c>
      <c r="S17" s="33">
        <f t="shared" si="3"/>
        <v>232</v>
      </c>
      <c r="T17" s="33">
        <f t="shared" si="4"/>
        <v>664</v>
      </c>
    </row>
    <row r="18" spans="1:20" ht="15" thickBot="1" x14ac:dyDescent="0.35">
      <c r="A18" s="49" t="s">
        <v>28</v>
      </c>
      <c r="B18" s="50"/>
      <c r="C18" s="50"/>
      <c r="D18" s="8" t="s">
        <v>26</v>
      </c>
      <c r="E18" s="8" t="s">
        <v>22</v>
      </c>
      <c r="N18" s="41" t="s">
        <v>10</v>
      </c>
      <c r="O18" s="5">
        <v>2882</v>
      </c>
      <c r="P18" s="1">
        <v>0</v>
      </c>
      <c r="Q18" s="1">
        <f t="shared" ref="Q18:Q19" si="8">14.4*30</f>
        <v>432</v>
      </c>
      <c r="R18" s="1">
        <v>0</v>
      </c>
      <c r="S18" s="33">
        <f t="shared" si="3"/>
        <v>2450</v>
      </c>
      <c r="T18" s="33">
        <f t="shared" si="4"/>
        <v>2882</v>
      </c>
    </row>
    <row r="19" spans="1:20" x14ac:dyDescent="0.3">
      <c r="A19" s="9" t="s">
        <v>16</v>
      </c>
      <c r="B19" s="10">
        <v>4578040</v>
      </c>
      <c r="C19" s="11">
        <v>3590</v>
      </c>
      <c r="D19">
        <f>B19+B20+B21+B22</f>
        <v>26054980</v>
      </c>
      <c r="E19">
        <f>C19+C20+C21+C22</f>
        <v>23490</v>
      </c>
      <c r="N19" s="41" t="s">
        <v>11</v>
      </c>
      <c r="O19" s="5">
        <v>5475</v>
      </c>
      <c r="P19" s="1">
        <v>0</v>
      </c>
      <c r="Q19" s="1">
        <f t="shared" si="8"/>
        <v>432</v>
      </c>
      <c r="R19" s="1">
        <v>0</v>
      </c>
      <c r="S19" s="33">
        <f t="shared" si="3"/>
        <v>5043</v>
      </c>
      <c r="T19" s="33">
        <f t="shared" si="4"/>
        <v>5475</v>
      </c>
    </row>
    <row r="20" spans="1:20" x14ac:dyDescent="0.3">
      <c r="A20" s="12" t="s">
        <v>17</v>
      </c>
      <c r="B20" s="1">
        <v>7898400</v>
      </c>
      <c r="C20" s="13">
        <v>6283</v>
      </c>
      <c r="N20" s="42" t="s">
        <v>34</v>
      </c>
      <c r="O20" s="43">
        <f>SUM(O17:O19)</f>
        <v>9021</v>
      </c>
      <c r="P20" s="43">
        <f>SUM(P17:P19)</f>
        <v>0</v>
      </c>
      <c r="Q20" s="43">
        <f>SUM(Q17:Q19)</f>
        <v>1296</v>
      </c>
      <c r="R20" s="44"/>
      <c r="S20" s="43">
        <f t="shared" si="3"/>
        <v>7725</v>
      </c>
      <c r="T20" s="33">
        <f t="shared" si="4"/>
        <v>9021</v>
      </c>
    </row>
    <row r="21" spans="1:20" x14ac:dyDescent="0.3">
      <c r="A21" s="12" t="s">
        <v>18</v>
      </c>
      <c r="B21" s="1">
        <v>6282840</v>
      </c>
      <c r="C21" s="13">
        <v>6311</v>
      </c>
      <c r="F21" s="51" t="s">
        <v>30</v>
      </c>
      <c r="G21" s="51"/>
      <c r="H21" s="51"/>
      <c r="I21" s="51"/>
      <c r="J21" s="51"/>
      <c r="N21" s="45" t="s">
        <v>15</v>
      </c>
      <c r="O21" s="46">
        <f>O20+O16+O12+O8</f>
        <v>30911</v>
      </c>
      <c r="P21" s="47"/>
      <c r="Q21" s="46">
        <f>Q20+Q16+Q12+Q8</f>
        <v>5184</v>
      </c>
      <c r="R21" s="47"/>
      <c r="S21" s="48">
        <f t="shared" si="3"/>
        <v>25727</v>
      </c>
      <c r="T21" s="33">
        <f t="shared" si="4"/>
        <v>30911</v>
      </c>
    </row>
    <row r="22" spans="1:20" ht="15" thickBot="1" x14ac:dyDescent="0.35">
      <c r="A22" s="14" t="s">
        <v>1</v>
      </c>
      <c r="B22" s="15">
        <v>7295700</v>
      </c>
      <c r="C22" s="16">
        <v>7306</v>
      </c>
      <c r="F22" s="7" t="s">
        <v>23</v>
      </c>
      <c r="G22" s="7" t="s">
        <v>13</v>
      </c>
    </row>
    <row r="23" spans="1:20" x14ac:dyDescent="0.3">
      <c r="A23" s="17"/>
      <c r="B23" s="18"/>
      <c r="C23" s="18"/>
      <c r="F23" s="1">
        <f>D19-D25</f>
        <v>21477100</v>
      </c>
      <c r="G23" s="1">
        <f>E19-E25</f>
        <v>19916</v>
      </c>
    </row>
    <row r="24" spans="1:20" ht="15" thickBot="1" x14ac:dyDescent="0.35">
      <c r="A24" s="49" t="s">
        <v>29</v>
      </c>
      <c r="B24" s="50"/>
      <c r="C24" s="50"/>
      <c r="D24" s="8" t="s">
        <v>26</v>
      </c>
      <c r="E24" s="8" t="s">
        <v>22</v>
      </c>
      <c r="N24" s="30">
        <v>23</v>
      </c>
      <c r="O24" s="1" t="s">
        <v>35</v>
      </c>
      <c r="P24" s="1" t="s">
        <v>36</v>
      </c>
      <c r="Q24" s="1" t="s">
        <v>37</v>
      </c>
      <c r="R24" s="1"/>
      <c r="S24" s="1"/>
    </row>
    <row r="25" spans="1:20" x14ac:dyDescent="0.3">
      <c r="A25" s="9" t="s">
        <v>19</v>
      </c>
      <c r="B25" s="10">
        <v>895740</v>
      </c>
      <c r="C25" s="11">
        <v>955</v>
      </c>
      <c r="D25">
        <f>B25+B26+B27+B28</f>
        <v>4577880</v>
      </c>
      <c r="E25">
        <f>C25+C26+C27+C28</f>
        <v>3574</v>
      </c>
      <c r="N25" s="19" t="s">
        <v>13</v>
      </c>
      <c r="O25" s="40" t="s">
        <v>38</v>
      </c>
      <c r="P25" s="40" t="s">
        <v>39</v>
      </c>
      <c r="Q25" s="40" t="s">
        <v>35</v>
      </c>
      <c r="R25" s="40" t="s">
        <v>40</v>
      </c>
      <c r="S25" s="40" t="s">
        <v>41</v>
      </c>
    </row>
    <row r="26" spans="1:20" x14ac:dyDescent="0.3">
      <c r="A26" s="12" t="s">
        <v>20</v>
      </c>
      <c r="B26" s="6">
        <v>793320</v>
      </c>
      <c r="C26" s="27">
        <v>829</v>
      </c>
      <c r="D26" s="3"/>
      <c r="N26" s="5">
        <v>6726</v>
      </c>
      <c r="O26" s="1">
        <v>0</v>
      </c>
      <c r="P26" s="1">
        <f>14.4*30</f>
        <v>432</v>
      </c>
      <c r="Q26" s="1">
        <v>0</v>
      </c>
      <c r="R26" s="33">
        <f>N26-P26</f>
        <v>6294</v>
      </c>
      <c r="S26" s="33">
        <f>O26+P26+Q26+R26</f>
        <v>6726</v>
      </c>
    </row>
    <row r="27" spans="1:20" x14ac:dyDescent="0.3">
      <c r="A27" s="12" t="s">
        <v>21</v>
      </c>
      <c r="B27" s="1">
        <v>895740</v>
      </c>
      <c r="C27" s="13">
        <v>942</v>
      </c>
      <c r="N27" s="5">
        <v>6382</v>
      </c>
      <c r="O27" s="1">
        <v>0</v>
      </c>
      <c r="P27" s="1">
        <f t="shared" ref="P27:P28" si="9">14.4*30</f>
        <v>432</v>
      </c>
      <c r="Q27" s="1">
        <v>0</v>
      </c>
      <c r="R27" s="33">
        <f t="shared" ref="R27:R42" si="10">N27-P27</f>
        <v>5950</v>
      </c>
      <c r="S27" s="33">
        <f t="shared" ref="S27:S42" si="11">O27+P27+Q27+R27</f>
        <v>6382</v>
      </c>
    </row>
    <row r="28" spans="1:20" ht="15" thickBot="1" x14ac:dyDescent="0.35">
      <c r="A28" s="14" t="s">
        <v>7</v>
      </c>
      <c r="B28" s="28">
        <v>1993080</v>
      </c>
      <c r="C28" s="29">
        <v>848</v>
      </c>
      <c r="N28" s="5">
        <v>1711</v>
      </c>
      <c r="O28" s="1">
        <v>0</v>
      </c>
      <c r="P28" s="1">
        <f t="shared" si="9"/>
        <v>432</v>
      </c>
      <c r="Q28" s="1">
        <v>0</v>
      </c>
      <c r="R28" s="33">
        <f t="shared" si="10"/>
        <v>1279</v>
      </c>
      <c r="S28" s="33">
        <f t="shared" si="11"/>
        <v>1711</v>
      </c>
    </row>
    <row r="29" spans="1:20" x14ac:dyDescent="0.3">
      <c r="N29" s="32">
        <f>SUM(N26:N28)</f>
        <v>14819</v>
      </c>
      <c r="O29" s="44"/>
      <c r="P29" s="43">
        <f>SUM(P26:P28)</f>
        <v>1296</v>
      </c>
      <c r="Q29" s="44"/>
      <c r="R29" s="43">
        <f t="shared" si="10"/>
        <v>13523</v>
      </c>
      <c r="S29" s="33">
        <f t="shared" si="11"/>
        <v>14819</v>
      </c>
    </row>
    <row r="30" spans="1:20" x14ac:dyDescent="0.3">
      <c r="G30" t="s">
        <v>27</v>
      </c>
      <c r="N30" s="5">
        <v>1635</v>
      </c>
      <c r="O30" s="1">
        <v>0</v>
      </c>
      <c r="P30" s="1">
        <f>14.4*30</f>
        <v>432</v>
      </c>
      <c r="Q30" s="1">
        <v>0</v>
      </c>
      <c r="R30" s="33">
        <f t="shared" si="10"/>
        <v>1203</v>
      </c>
      <c r="S30" s="33">
        <f t="shared" si="11"/>
        <v>1635</v>
      </c>
    </row>
    <row r="31" spans="1:20" ht="15" thickBot="1" x14ac:dyDescent="0.35">
      <c r="A31" s="49" t="s">
        <v>28</v>
      </c>
      <c r="B31" s="50"/>
      <c r="C31" s="50"/>
      <c r="N31" s="5">
        <v>981</v>
      </c>
      <c r="O31" s="1">
        <v>0</v>
      </c>
      <c r="P31" s="1">
        <f t="shared" ref="P31:P32" si="12">14.4*30</f>
        <v>432</v>
      </c>
      <c r="Q31" s="1">
        <v>0</v>
      </c>
      <c r="R31" s="33">
        <f t="shared" si="10"/>
        <v>549</v>
      </c>
      <c r="S31" s="33">
        <f t="shared" si="11"/>
        <v>981</v>
      </c>
    </row>
    <row r="32" spans="1:20" ht="15" thickBot="1" x14ac:dyDescent="0.35">
      <c r="A32" s="9" t="s">
        <v>16</v>
      </c>
      <c r="B32" s="34">
        <f>C14</f>
        <v>2882</v>
      </c>
      <c r="C32" s="18"/>
      <c r="D32" s="31">
        <f>B46</f>
        <v>852.6</v>
      </c>
      <c r="E32" s="34">
        <f>B32</f>
        <v>2882</v>
      </c>
      <c r="F32" s="31">
        <f>E32-D32</f>
        <v>2029.4</v>
      </c>
      <c r="N32" s="5">
        <v>766</v>
      </c>
      <c r="O32" s="1">
        <v>0</v>
      </c>
      <c r="P32" s="1">
        <f t="shared" si="12"/>
        <v>432</v>
      </c>
      <c r="Q32" s="1">
        <v>0</v>
      </c>
      <c r="R32" s="33">
        <f t="shared" si="10"/>
        <v>334</v>
      </c>
      <c r="S32" s="33">
        <f t="shared" si="11"/>
        <v>766</v>
      </c>
    </row>
    <row r="33" spans="1:19" x14ac:dyDescent="0.3">
      <c r="A33" s="12" t="s">
        <v>17</v>
      </c>
      <c r="B33" s="35">
        <f>C15</f>
        <v>5475</v>
      </c>
      <c r="C33" s="18"/>
      <c r="D33" s="31">
        <v>853</v>
      </c>
      <c r="E33" s="34">
        <f>B33</f>
        <v>5475</v>
      </c>
      <c r="F33" s="31">
        <f t="shared" ref="F33:F36" si="13">E33-D33</f>
        <v>4622</v>
      </c>
      <c r="N33" s="32">
        <f t="shared" ref="N33" si="14">SUM(N30:N32)</f>
        <v>3382</v>
      </c>
      <c r="O33" s="44"/>
      <c r="P33" s="43">
        <f>SUM(P30:P32)</f>
        <v>1296</v>
      </c>
      <c r="Q33" s="44"/>
      <c r="R33" s="43">
        <f t="shared" si="10"/>
        <v>2086</v>
      </c>
      <c r="S33" s="33">
        <f t="shared" si="11"/>
        <v>3382</v>
      </c>
    </row>
    <row r="34" spans="1:19" x14ac:dyDescent="0.3">
      <c r="A34" s="12" t="s">
        <v>18</v>
      </c>
      <c r="B34" s="35">
        <f>C4</f>
        <v>4646</v>
      </c>
      <c r="C34" s="18"/>
      <c r="D34" s="31">
        <v>853</v>
      </c>
      <c r="E34" s="5">
        <v>4646</v>
      </c>
      <c r="F34" s="31">
        <f t="shared" si="13"/>
        <v>3793</v>
      </c>
      <c r="N34" s="5">
        <v>1015</v>
      </c>
      <c r="O34" s="1">
        <v>0</v>
      </c>
      <c r="P34" s="1">
        <f>14.4*30</f>
        <v>432</v>
      </c>
      <c r="Q34" s="1">
        <v>0</v>
      </c>
      <c r="R34" s="33">
        <f t="shared" si="10"/>
        <v>583</v>
      </c>
      <c r="S34" s="33">
        <f t="shared" si="11"/>
        <v>1015</v>
      </c>
    </row>
    <row r="35" spans="1:19" ht="15" thickBot="1" x14ac:dyDescent="0.35">
      <c r="A35" s="14" t="s">
        <v>1</v>
      </c>
      <c r="B35" s="35">
        <f>C5</f>
        <v>6703</v>
      </c>
      <c r="C35" s="18"/>
      <c r="D35" s="31">
        <v>853</v>
      </c>
      <c r="E35" s="5">
        <v>6703</v>
      </c>
      <c r="F35" s="31">
        <f t="shared" si="13"/>
        <v>5850</v>
      </c>
      <c r="N35" s="5">
        <v>946</v>
      </c>
      <c r="O35" s="1">
        <v>0</v>
      </c>
      <c r="P35" s="1">
        <f t="shared" ref="P35:P36" si="15">14.4*30</f>
        <v>432</v>
      </c>
      <c r="Q35" s="1">
        <v>0</v>
      </c>
      <c r="R35" s="33">
        <f t="shared" si="10"/>
        <v>514</v>
      </c>
      <c r="S35" s="33">
        <f t="shared" si="11"/>
        <v>946</v>
      </c>
    </row>
    <row r="36" spans="1:19" ht="15" thickBot="1" x14ac:dyDescent="0.35">
      <c r="A36" s="14" t="s">
        <v>2</v>
      </c>
      <c r="B36" s="35">
        <f>C6</f>
        <v>4318</v>
      </c>
      <c r="C36" s="18"/>
      <c r="D36" s="31">
        <v>853</v>
      </c>
      <c r="E36" s="5">
        <v>4318</v>
      </c>
      <c r="F36" s="31">
        <f t="shared" si="13"/>
        <v>3465</v>
      </c>
      <c r="N36" s="5">
        <v>901</v>
      </c>
      <c r="O36" s="1">
        <v>0</v>
      </c>
      <c r="P36" s="1">
        <f t="shared" si="15"/>
        <v>432</v>
      </c>
      <c r="Q36" s="1">
        <v>0</v>
      </c>
      <c r="R36" s="33">
        <f t="shared" si="10"/>
        <v>469</v>
      </c>
      <c r="S36" s="33">
        <f t="shared" si="11"/>
        <v>901</v>
      </c>
    </row>
    <row r="37" spans="1:19" x14ac:dyDescent="0.3">
      <c r="B37" s="31">
        <f>AVERAGE(B32:B36)</f>
        <v>4804.8</v>
      </c>
      <c r="C37" s="18"/>
      <c r="N37" s="32">
        <f t="shared" ref="N37" si="16">SUM(N34:N36)</f>
        <v>2862</v>
      </c>
      <c r="O37" s="44"/>
      <c r="P37" s="43">
        <f>SUM(P34:P36)</f>
        <v>1296</v>
      </c>
      <c r="Q37" s="44"/>
      <c r="R37" s="43">
        <f t="shared" si="10"/>
        <v>1566</v>
      </c>
      <c r="S37" s="33">
        <f t="shared" si="11"/>
        <v>2862</v>
      </c>
    </row>
    <row r="38" spans="1:19" x14ac:dyDescent="0.3">
      <c r="C38" s="18"/>
      <c r="N38" s="5">
        <v>1280</v>
      </c>
      <c r="O38" s="1">
        <v>0</v>
      </c>
      <c r="P38" s="1">
        <f>14.4*30</f>
        <v>432</v>
      </c>
      <c r="Q38" s="1">
        <v>0</v>
      </c>
      <c r="R38" s="33">
        <f t="shared" si="10"/>
        <v>848</v>
      </c>
      <c r="S38" s="33">
        <f t="shared" si="11"/>
        <v>1280</v>
      </c>
    </row>
    <row r="39" spans="1:19" x14ac:dyDescent="0.3">
      <c r="C39" s="31">
        <f>B37-B46</f>
        <v>3952.2000000000003</v>
      </c>
      <c r="N39" s="5">
        <v>4242</v>
      </c>
      <c r="O39" s="1">
        <v>0</v>
      </c>
      <c r="P39" s="1">
        <f t="shared" ref="P39:P40" si="17">14.4*30</f>
        <v>432</v>
      </c>
      <c r="Q39" s="1">
        <v>0</v>
      </c>
      <c r="R39" s="33">
        <f t="shared" si="10"/>
        <v>3810</v>
      </c>
      <c r="S39" s="33">
        <f t="shared" si="11"/>
        <v>4242</v>
      </c>
    </row>
    <row r="40" spans="1:19" ht="15" thickBot="1" x14ac:dyDescent="0.35">
      <c r="A40" s="49" t="s">
        <v>29</v>
      </c>
      <c r="B40" s="50"/>
      <c r="C40" s="50"/>
      <c r="N40" s="5">
        <v>5665</v>
      </c>
      <c r="O40" s="1">
        <v>0</v>
      </c>
      <c r="P40" s="1">
        <f t="shared" si="17"/>
        <v>432</v>
      </c>
      <c r="Q40" s="1">
        <v>0</v>
      </c>
      <c r="R40" s="33">
        <f t="shared" si="10"/>
        <v>5233</v>
      </c>
      <c r="S40" s="33">
        <f t="shared" si="11"/>
        <v>5665</v>
      </c>
    </row>
    <row r="41" spans="1:19" x14ac:dyDescent="0.3">
      <c r="A41" s="9" t="s">
        <v>19</v>
      </c>
      <c r="B41" s="36">
        <v>936</v>
      </c>
      <c r="C41" s="18"/>
      <c r="N41" s="32">
        <f t="shared" ref="N41" si="18">SUM(N38:N40)</f>
        <v>11187</v>
      </c>
      <c r="O41" s="44"/>
      <c r="P41" s="43">
        <f>SUM(P38:P40)</f>
        <v>1296</v>
      </c>
      <c r="Q41" s="44"/>
      <c r="R41" s="43">
        <f t="shared" si="10"/>
        <v>9891</v>
      </c>
      <c r="S41" s="33">
        <f t="shared" si="11"/>
        <v>11187</v>
      </c>
    </row>
    <row r="42" spans="1:19" ht="15" thickBot="1" x14ac:dyDescent="0.35">
      <c r="A42" s="12" t="s">
        <v>20</v>
      </c>
      <c r="B42" s="36">
        <v>840</v>
      </c>
      <c r="C42" s="37"/>
      <c r="N42" s="24">
        <f>N41+N37+N33+N29</f>
        <v>32250</v>
      </c>
      <c r="O42" s="47"/>
      <c r="P42" s="46">
        <f>P41+P37+P33+P29</f>
        <v>5184</v>
      </c>
      <c r="Q42" s="47"/>
      <c r="R42" s="48">
        <f t="shared" si="10"/>
        <v>27066</v>
      </c>
      <c r="S42" s="33">
        <f t="shared" si="11"/>
        <v>32250</v>
      </c>
    </row>
    <row r="43" spans="1:19" x14ac:dyDescent="0.3">
      <c r="A43" s="12" t="s">
        <v>21</v>
      </c>
      <c r="B43" s="36">
        <v>826</v>
      </c>
      <c r="C43" s="18"/>
    </row>
    <row r="44" spans="1:19" ht="15" thickBot="1" x14ac:dyDescent="0.35">
      <c r="A44" s="14" t="s">
        <v>7</v>
      </c>
      <c r="B44" s="36">
        <v>862</v>
      </c>
      <c r="C44" s="37"/>
    </row>
    <row r="45" spans="1:19" ht="15" thickBot="1" x14ac:dyDescent="0.35">
      <c r="A45" s="14" t="s">
        <v>8</v>
      </c>
      <c r="B45" s="5">
        <v>799</v>
      </c>
      <c r="N45" s="30">
        <v>24</v>
      </c>
      <c r="O45" s="1" t="s">
        <v>35</v>
      </c>
      <c r="P45" s="1" t="s">
        <v>36</v>
      </c>
      <c r="Q45" s="1" t="s">
        <v>37</v>
      </c>
      <c r="R45" s="1"/>
      <c r="S45" s="1"/>
    </row>
    <row r="46" spans="1:19" x14ac:dyDescent="0.3">
      <c r="B46" s="31">
        <f>AVERAGE(B41:B45)</f>
        <v>852.6</v>
      </c>
      <c r="N46" s="19" t="s">
        <v>13</v>
      </c>
      <c r="O46" s="40" t="s">
        <v>38</v>
      </c>
      <c r="P46" s="40" t="s">
        <v>39</v>
      </c>
      <c r="Q46" s="40" t="s">
        <v>35</v>
      </c>
      <c r="R46" s="40" t="s">
        <v>40</v>
      </c>
      <c r="S46" s="40" t="s">
        <v>41</v>
      </c>
    </row>
    <row r="47" spans="1:19" x14ac:dyDescent="0.3">
      <c r="N47" s="5">
        <v>7562</v>
      </c>
      <c r="O47" s="1">
        <v>0</v>
      </c>
      <c r="P47" s="1">
        <f>14.4*30</f>
        <v>432</v>
      </c>
      <c r="Q47" s="1">
        <v>0</v>
      </c>
      <c r="R47" s="33">
        <f>N47-P47</f>
        <v>7130</v>
      </c>
      <c r="S47" s="33">
        <f>O47+P47+Q47+R47</f>
        <v>7562</v>
      </c>
    </row>
    <row r="48" spans="1:19" x14ac:dyDescent="0.3">
      <c r="N48" s="5">
        <v>8834</v>
      </c>
      <c r="O48" s="1">
        <v>0</v>
      </c>
      <c r="P48" s="1">
        <f t="shared" ref="P48:P49" si="19">14.4*30</f>
        <v>432</v>
      </c>
      <c r="Q48" s="1">
        <v>0</v>
      </c>
      <c r="R48" s="33">
        <f t="shared" ref="R48:R63" si="20">N48-P48</f>
        <v>8402</v>
      </c>
      <c r="S48" s="33">
        <f t="shared" ref="S48:S63" si="21">O48+P48+Q48+R48</f>
        <v>8834</v>
      </c>
    </row>
    <row r="49" spans="14:19" x14ac:dyDescent="0.3">
      <c r="N49" s="5">
        <v>5682</v>
      </c>
      <c r="O49" s="1">
        <v>0</v>
      </c>
      <c r="P49" s="1">
        <f t="shared" si="19"/>
        <v>432</v>
      </c>
      <c r="Q49" s="1">
        <v>0</v>
      </c>
      <c r="R49" s="33">
        <f t="shared" si="20"/>
        <v>5250</v>
      </c>
      <c r="S49" s="33">
        <f t="shared" si="21"/>
        <v>5682</v>
      </c>
    </row>
    <row r="50" spans="14:19" x14ac:dyDescent="0.3">
      <c r="N50" s="32">
        <f>SUM(N47:N49)</f>
        <v>22078</v>
      </c>
      <c r="O50" s="44"/>
      <c r="P50" s="43">
        <f>SUM(P47:P49)</f>
        <v>1296</v>
      </c>
      <c r="Q50" s="44"/>
      <c r="R50" s="43">
        <f t="shared" si="20"/>
        <v>20782</v>
      </c>
      <c r="S50" s="33">
        <f t="shared" si="21"/>
        <v>22078</v>
      </c>
    </row>
    <row r="51" spans="14:19" x14ac:dyDescent="0.3">
      <c r="N51" s="5">
        <v>880</v>
      </c>
      <c r="O51" s="1">
        <v>0</v>
      </c>
      <c r="P51" s="1">
        <f>14.4*30</f>
        <v>432</v>
      </c>
      <c r="Q51" s="1">
        <v>0</v>
      </c>
      <c r="R51" s="33">
        <f t="shared" si="20"/>
        <v>448</v>
      </c>
      <c r="S51" s="33">
        <f t="shared" si="21"/>
        <v>880</v>
      </c>
    </row>
    <row r="52" spans="14:19" x14ac:dyDescent="0.3">
      <c r="N52" s="5">
        <v>948</v>
      </c>
      <c r="O52" s="1">
        <v>0</v>
      </c>
      <c r="P52" s="1">
        <f t="shared" ref="P52:P53" si="22">14.4*30</f>
        <v>432</v>
      </c>
      <c r="Q52" s="1">
        <v>0</v>
      </c>
      <c r="R52" s="33">
        <f t="shared" si="20"/>
        <v>516</v>
      </c>
      <c r="S52" s="33">
        <f t="shared" si="21"/>
        <v>948</v>
      </c>
    </row>
    <row r="53" spans="14:19" x14ac:dyDescent="0.3">
      <c r="N53" s="5">
        <v>880</v>
      </c>
      <c r="O53" s="1">
        <v>0</v>
      </c>
      <c r="P53" s="1">
        <f t="shared" si="22"/>
        <v>432</v>
      </c>
      <c r="Q53" s="1">
        <v>0</v>
      </c>
      <c r="R53" s="33">
        <f t="shared" si="20"/>
        <v>448</v>
      </c>
      <c r="S53" s="33">
        <f t="shared" si="21"/>
        <v>880</v>
      </c>
    </row>
    <row r="54" spans="14:19" x14ac:dyDescent="0.3">
      <c r="N54" s="32">
        <f t="shared" ref="N54" si="23">SUM(N51:N53)</f>
        <v>2708</v>
      </c>
      <c r="O54" s="44"/>
      <c r="P54" s="43">
        <f>SUM(P51:P53)</f>
        <v>1296</v>
      </c>
      <c r="Q54" s="44"/>
      <c r="R54" s="43">
        <f t="shared" si="20"/>
        <v>1412</v>
      </c>
      <c r="S54" s="33">
        <f t="shared" si="21"/>
        <v>2708</v>
      </c>
    </row>
    <row r="55" spans="14:19" x14ac:dyDescent="0.3">
      <c r="N55" s="5">
        <v>985</v>
      </c>
      <c r="O55" s="1">
        <v>0</v>
      </c>
      <c r="P55" s="1">
        <f>14.4*30</f>
        <v>432</v>
      </c>
      <c r="Q55" s="1">
        <v>0</v>
      </c>
      <c r="R55" s="33">
        <f t="shared" si="20"/>
        <v>553</v>
      </c>
      <c r="S55" s="33">
        <f t="shared" si="21"/>
        <v>985</v>
      </c>
    </row>
    <row r="56" spans="14:19" x14ac:dyDescent="0.3">
      <c r="N56" s="5">
        <v>735</v>
      </c>
      <c r="O56" s="1">
        <v>0</v>
      </c>
      <c r="P56" s="1">
        <f t="shared" ref="P56:P57" si="24">14.4*30</f>
        <v>432</v>
      </c>
      <c r="Q56" s="1">
        <v>0</v>
      </c>
      <c r="R56" s="33">
        <f t="shared" si="20"/>
        <v>303</v>
      </c>
      <c r="S56" s="33">
        <f t="shared" si="21"/>
        <v>735</v>
      </c>
    </row>
    <row r="57" spans="14:19" x14ac:dyDescent="0.3">
      <c r="N57" s="5">
        <v>451</v>
      </c>
      <c r="O57" s="1">
        <v>0</v>
      </c>
      <c r="P57" s="1">
        <f t="shared" si="24"/>
        <v>432</v>
      </c>
      <c r="Q57" s="1">
        <v>0</v>
      </c>
      <c r="R57" s="33">
        <f t="shared" si="20"/>
        <v>19</v>
      </c>
      <c r="S57" s="33">
        <f t="shared" si="21"/>
        <v>451</v>
      </c>
    </row>
    <row r="58" spans="14:19" x14ac:dyDescent="0.3">
      <c r="N58" s="32">
        <f t="shared" ref="N58" si="25">SUM(N55:N57)</f>
        <v>2171</v>
      </c>
      <c r="O58" s="44"/>
      <c r="P58" s="43">
        <f>SUM(P55:P57)</f>
        <v>1296</v>
      </c>
      <c r="Q58" s="44"/>
      <c r="R58" s="43">
        <f t="shared" si="20"/>
        <v>875</v>
      </c>
      <c r="S58" s="33">
        <f t="shared" si="21"/>
        <v>2171</v>
      </c>
    </row>
    <row r="59" spans="14:19" x14ac:dyDescent="0.3">
      <c r="N59" s="5">
        <v>446</v>
      </c>
      <c r="O59" s="1">
        <v>0</v>
      </c>
      <c r="P59" s="1">
        <f>14.4*30</f>
        <v>432</v>
      </c>
      <c r="Q59" s="1">
        <v>0</v>
      </c>
      <c r="R59" s="33">
        <f t="shared" si="20"/>
        <v>14</v>
      </c>
      <c r="S59" s="33">
        <f t="shared" si="21"/>
        <v>446</v>
      </c>
    </row>
    <row r="60" spans="14:19" x14ac:dyDescent="0.3">
      <c r="N60" s="5">
        <v>3646</v>
      </c>
      <c r="O60" s="1">
        <v>0</v>
      </c>
      <c r="P60" s="1">
        <f t="shared" ref="P60:P61" si="26">14.4*30</f>
        <v>432</v>
      </c>
      <c r="Q60" s="1">
        <v>0</v>
      </c>
      <c r="R60" s="33">
        <f t="shared" si="20"/>
        <v>3214</v>
      </c>
      <c r="S60" s="33">
        <f t="shared" si="21"/>
        <v>3646</v>
      </c>
    </row>
    <row r="61" spans="14:19" x14ac:dyDescent="0.3">
      <c r="N61" s="5">
        <v>7710</v>
      </c>
      <c r="O61" s="1">
        <v>0</v>
      </c>
      <c r="P61" s="1">
        <f t="shared" si="26"/>
        <v>432</v>
      </c>
      <c r="Q61" s="1">
        <v>0</v>
      </c>
      <c r="R61" s="33">
        <f t="shared" si="20"/>
        <v>7278</v>
      </c>
      <c r="S61" s="33">
        <f t="shared" si="21"/>
        <v>7710</v>
      </c>
    </row>
    <row r="62" spans="14:19" x14ac:dyDescent="0.3">
      <c r="N62" s="32">
        <f t="shared" ref="N62" si="27">SUM(N59:N61)</f>
        <v>11802</v>
      </c>
      <c r="O62" s="44"/>
      <c r="P62" s="43">
        <f>SUM(P59:P61)</f>
        <v>1296</v>
      </c>
      <c r="Q62" s="44"/>
      <c r="R62" s="43">
        <f t="shared" si="20"/>
        <v>10506</v>
      </c>
      <c r="S62" s="33">
        <f t="shared" si="21"/>
        <v>11802</v>
      </c>
    </row>
    <row r="63" spans="14:19" ht="15" thickBot="1" x14ac:dyDescent="0.35">
      <c r="N63" s="24">
        <f>N62+N58+N54+N50</f>
        <v>38759</v>
      </c>
      <c r="O63" s="47"/>
      <c r="P63" s="46">
        <f>P62+P58+P54+P50</f>
        <v>5184</v>
      </c>
      <c r="Q63" s="47"/>
      <c r="R63" s="48">
        <f t="shared" si="20"/>
        <v>33575</v>
      </c>
      <c r="S63" s="33">
        <f t="shared" si="21"/>
        <v>38759</v>
      </c>
    </row>
  </sheetData>
  <mergeCells count="11">
    <mergeCell ref="A1:J1"/>
    <mergeCell ref="B2:C2"/>
    <mergeCell ref="D2:E2"/>
    <mergeCell ref="F2:G2"/>
    <mergeCell ref="H2:I2"/>
    <mergeCell ref="A31:C31"/>
    <mergeCell ref="A40:C40"/>
    <mergeCell ref="N2:R2"/>
    <mergeCell ref="A18:C18"/>
    <mergeCell ref="A24:C24"/>
    <mergeCell ref="F21:J21"/>
  </mergeCells>
  <phoneticPr fontId="5" type="noConversion"/>
  <pageMargins left="0.7" right="0.7" top="0.75" bottom="0.75" header="0.3" footer="0.3"/>
  <pageSetup paperSize="9" scale="95" orientation="portrait" r:id="rId1"/>
  <rowBreaks count="1" manualBreakCount="1">
    <brk id="30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2025-05-01T12:33:20Z</cp:lastPrinted>
  <dcterms:created xsi:type="dcterms:W3CDTF">2025-05-01T06:42:55Z</dcterms:created>
  <dcterms:modified xsi:type="dcterms:W3CDTF">2025-11-02T01:22:02Z</dcterms:modified>
</cp:coreProperties>
</file>