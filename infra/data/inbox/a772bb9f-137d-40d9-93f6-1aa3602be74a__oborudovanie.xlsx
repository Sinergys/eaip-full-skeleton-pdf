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UDIT\METIN\Данные Metin iroda\Оборудование\"/>
    </mc:Choice>
  </mc:AlternateContent>
  <xr:revisionPtr revIDLastSave="0" documentId="13_ncr:1_{AC2805F7-39A1-4869-BDBE-C9CDAFBC3638}" xr6:coauthVersionLast="47" xr6:coauthVersionMax="47" xr10:uidLastSave="{00000000-0000-0000-0000-000000000000}"/>
  <bookViews>
    <workbookView xWindow="-108" yWindow="-108" windowWidth="23256" windowHeight="12456" xr2:uid="{9CACD078-3305-42BD-9BAA-D540A242FD69}"/>
  </bookViews>
  <sheets>
    <sheet name="Лист1" sheetId="1" r:id="rId1"/>
    <sheet name="Лист2" sheetId="2" r:id="rId2"/>
    <sheet name="Лист3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F73" i="3"/>
  <c r="D85" i="3"/>
  <c r="F84" i="3"/>
  <c r="F83" i="3"/>
  <c r="F82" i="3"/>
  <c r="F81" i="3"/>
  <c r="F80" i="3"/>
  <c r="F79" i="3"/>
  <c r="F78" i="3"/>
  <c r="F77" i="3"/>
  <c r="F76" i="3"/>
  <c r="F75" i="3"/>
  <c r="F74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D93" i="2"/>
  <c r="D26" i="1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E78" i="2"/>
  <c r="F78" i="2" s="1"/>
  <c r="E77" i="2"/>
  <c r="F77" i="2" s="1"/>
  <c r="E76" i="2"/>
  <c r="F76" i="2" s="1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D139" i="1"/>
  <c r="D131" i="1"/>
  <c r="D117" i="1"/>
  <c r="D102" i="1"/>
  <c r="F95" i="1"/>
  <c r="D96" i="1"/>
  <c r="D82" i="1"/>
  <c r="D73" i="1"/>
  <c r="D52" i="1"/>
  <c r="F136" i="1"/>
  <c r="F137" i="1"/>
  <c r="F138" i="1"/>
  <c r="F135" i="1"/>
  <c r="F127" i="1"/>
  <c r="F128" i="1"/>
  <c r="F129" i="1"/>
  <c r="F130" i="1"/>
  <c r="F126" i="1"/>
  <c r="F112" i="1"/>
  <c r="F113" i="1"/>
  <c r="F114" i="1"/>
  <c r="F115" i="1"/>
  <c r="F116" i="1"/>
  <c r="E111" i="1"/>
  <c r="F111" i="1" s="1"/>
  <c r="E106" i="1"/>
  <c r="F106" i="1" s="1"/>
  <c r="E101" i="1"/>
  <c r="F101" i="1" s="1"/>
  <c r="E100" i="1"/>
  <c r="F100" i="1" s="1"/>
  <c r="F87" i="1"/>
  <c r="F88" i="1"/>
  <c r="F89" i="1"/>
  <c r="F90" i="1"/>
  <c r="F91" i="1"/>
  <c r="F92" i="1"/>
  <c r="F93" i="1"/>
  <c r="F94" i="1"/>
  <c r="F86" i="1"/>
  <c r="F81" i="1"/>
  <c r="F79" i="1"/>
  <c r="F78" i="1"/>
  <c r="F77" i="1"/>
  <c r="F72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50" i="1"/>
  <c r="F51" i="1"/>
  <c r="F49" i="1"/>
  <c r="F48" i="1"/>
  <c r="F47" i="1"/>
  <c r="F46" i="1"/>
  <c r="F45" i="1"/>
  <c r="F44" i="1"/>
  <c r="F43" i="1"/>
  <c r="F42" i="1"/>
  <c r="F41" i="1"/>
  <c r="F40" i="1"/>
  <c r="F32" i="1"/>
  <c r="F35" i="1"/>
  <c r="F36" i="1"/>
  <c r="F37" i="1"/>
  <c r="F38" i="1"/>
  <c r="F39" i="1"/>
  <c r="F25" i="1"/>
  <c r="F24" i="1"/>
  <c r="F23" i="1"/>
  <c r="F22" i="1"/>
  <c r="F21" i="1"/>
  <c r="F20" i="1"/>
  <c r="F19" i="1"/>
  <c r="F18" i="1"/>
  <c r="F17" i="1"/>
  <c r="F8" i="1"/>
  <c r="F9" i="1"/>
  <c r="F10" i="1"/>
  <c r="F11" i="1"/>
  <c r="F12" i="1"/>
  <c r="F13" i="1"/>
  <c r="F14" i="1"/>
  <c r="F15" i="1"/>
  <c r="F16" i="1"/>
  <c r="F85" i="3" l="1"/>
  <c r="F26" i="1"/>
  <c r="F93" i="2"/>
  <c r="F139" i="1"/>
  <c r="F102" i="1"/>
  <c r="F73" i="1"/>
  <c r="F96" i="1"/>
  <c r="F131" i="1"/>
  <c r="F82" i="1"/>
  <c r="F117" i="1"/>
  <c r="F52" i="1"/>
</calcChain>
</file>

<file path=xl/sharedStrings.xml><?xml version="1.0" encoding="utf-8"?>
<sst xmlns="http://schemas.openxmlformats.org/spreadsheetml/2006/main" count="679" uniqueCount="120">
  <si>
    <t>1. Цех по производству труб из полипропилена для холодного и горячего водоснабжения</t>
  </si>
  <si>
    <t>№</t>
  </si>
  <si>
    <t>Оборудование</t>
  </si>
  <si>
    <t>Конденсатор, компенсирующий</t>
  </si>
  <si>
    <t>Водяные насосы</t>
  </si>
  <si>
    <t>Чиллер</t>
  </si>
  <si>
    <t xml:space="preserve">Компрессор </t>
  </si>
  <si>
    <t>Автоматическая пила</t>
  </si>
  <si>
    <t>Линия по производству труб из полипропилена KONEX 1</t>
  </si>
  <si>
    <t>Линия по производству труб из полипропилена KONEX 2</t>
  </si>
  <si>
    <t>Линия по производству труб из полипропилена KONEX 3</t>
  </si>
  <si>
    <t>Линия по производству труб из полипропилена Микросан Фальга</t>
  </si>
  <si>
    <t xml:space="preserve">Линия по производству труб из полипропилена </t>
  </si>
  <si>
    <t>Линия по производству труб из полипропилена Китай</t>
  </si>
  <si>
    <t>Резервный генератор дизельный</t>
  </si>
  <si>
    <t>Освещение</t>
  </si>
  <si>
    <t xml:space="preserve"> +</t>
  </si>
  <si>
    <t xml:space="preserve"> + </t>
  </si>
  <si>
    <t>+</t>
  </si>
  <si>
    <t>Линия по производству труб из полипропилена Куатро ПП2</t>
  </si>
  <si>
    <t>2. Цех по производству труб из ПВХ для канализационных систем</t>
  </si>
  <si>
    <t>Водяной насос</t>
  </si>
  <si>
    <t xml:space="preserve">Градирни </t>
  </si>
  <si>
    <t>Вытяжка</t>
  </si>
  <si>
    <t>Линия по производству труб из ПВХ KONEX</t>
  </si>
  <si>
    <t>Линия по производству труб из ПВХ Микросан</t>
  </si>
  <si>
    <t>Линия по производству труб из ПВХ Китай</t>
  </si>
  <si>
    <t>Большой миксер</t>
  </si>
  <si>
    <t>Миксер для фитингов</t>
  </si>
  <si>
    <t>Миксер</t>
  </si>
  <si>
    <t>Автоматическое оборудование для раструба</t>
  </si>
  <si>
    <t>Пила для резки браков</t>
  </si>
  <si>
    <t>3. Цех по производству фитингов из полипропилена и ПВХ</t>
  </si>
  <si>
    <t>Градирни</t>
  </si>
  <si>
    <t>Вакуумный насос</t>
  </si>
  <si>
    <t>Термопласт автомат BORCHE BS 650</t>
  </si>
  <si>
    <t>Термопласт автомат BORCHE BT 500-III</t>
  </si>
  <si>
    <t>Термопласт автомат BORCHE BT 400-V-II</t>
  </si>
  <si>
    <t>Термопласт автомат BORCHE BT 400-III</t>
  </si>
  <si>
    <t>Термопласт автомат BORCHE BT 400-41</t>
  </si>
  <si>
    <t>Термопласт автомат BORCHE BT 320-III</t>
  </si>
  <si>
    <t>Термопласт автомат BORCHE BT 260-V-II</t>
  </si>
  <si>
    <t>Термопласт автомат HAITIAN SA 3800</t>
  </si>
  <si>
    <t>Термопласт автомат EKIN - 220</t>
  </si>
  <si>
    <t xml:space="preserve"> </t>
  </si>
  <si>
    <t>Линия по производству труб для напольного отопления (5 слой)</t>
  </si>
  <si>
    <t>Линия по производству труб для напольного отопления (1 слой)</t>
  </si>
  <si>
    <t>Оборудование гранулятор</t>
  </si>
  <si>
    <t>Мельница</t>
  </si>
  <si>
    <t>Миксер (136)</t>
  </si>
  <si>
    <t>Дробилка ПВСи</t>
  </si>
  <si>
    <t>Дробилка ППР</t>
  </si>
  <si>
    <t xml:space="preserve">6. Склад готовой продукции </t>
  </si>
  <si>
    <t>7. Склад Сырья</t>
  </si>
  <si>
    <t xml:space="preserve">8. Склад для сырья и комплектующих материалов </t>
  </si>
  <si>
    <t>Освещение склад помещения</t>
  </si>
  <si>
    <t>Лаборатория</t>
  </si>
  <si>
    <t>9. Склад готовой продукции для труб из ПВХ</t>
  </si>
  <si>
    <t>10. Офис</t>
  </si>
  <si>
    <t>Кондиционер</t>
  </si>
  <si>
    <t>Аристон</t>
  </si>
  <si>
    <t>Резервный генератор бензиновый</t>
  </si>
  <si>
    <t>Водонагреватель солнечный</t>
  </si>
  <si>
    <t>Компрессор резерв</t>
  </si>
  <si>
    <t xml:space="preserve"> 66,6, ТЭН:48</t>
  </si>
  <si>
    <t xml:space="preserve"> -</t>
  </si>
  <si>
    <t xml:space="preserve">  -</t>
  </si>
  <si>
    <t>263,8. ТЭН:72</t>
  </si>
  <si>
    <t>Компрессор (резерв)</t>
  </si>
  <si>
    <t xml:space="preserve"> 59,5, ТЭН: 30 </t>
  </si>
  <si>
    <t xml:space="preserve"> 73,5 , ТЭН: 6 </t>
  </si>
  <si>
    <t xml:space="preserve"> 3,7, ТЭН: 10 </t>
  </si>
  <si>
    <t xml:space="preserve"> 7,5 , ТЭН: 17</t>
  </si>
  <si>
    <t xml:space="preserve"> 97,6, ТЭН:40</t>
  </si>
  <si>
    <t xml:space="preserve"> 96,95  ТЭН:30</t>
  </si>
  <si>
    <t>Столовая водонагреватель</t>
  </si>
  <si>
    <t>Столовая освещение</t>
  </si>
  <si>
    <t>Механический цех освещение</t>
  </si>
  <si>
    <t>Механический цех станки</t>
  </si>
  <si>
    <t>Оборудование гранулятор ТЭН</t>
  </si>
  <si>
    <t>11. Раздевалка, душевые</t>
  </si>
  <si>
    <t>Фильтр</t>
  </si>
  <si>
    <t xml:space="preserve"> 9,5 ТЭН:17</t>
  </si>
  <si>
    <t>ЧП (VFD)</t>
  </si>
  <si>
    <t xml:space="preserve"> 243,6. ТЭН: 60</t>
  </si>
  <si>
    <t>259,2. ТЭН:66</t>
  </si>
  <si>
    <t xml:space="preserve"> 260,8. ТЭН:66</t>
  </si>
  <si>
    <t>Итого</t>
  </si>
  <si>
    <r>
      <t>4.</t>
    </r>
    <r>
      <rPr>
        <b/>
        <sz val="12"/>
        <color rgb="FF000000"/>
        <rFont val="Times New Roman"/>
        <family val="1"/>
        <charset val="204"/>
      </rPr>
      <t xml:space="preserve">    </t>
    </r>
    <r>
      <rPr>
        <b/>
        <sz val="12"/>
        <color rgb="FF000000"/>
        <rFont val="Cambria"/>
        <family val="1"/>
        <charset val="204"/>
      </rPr>
      <t>Цех по производству труб для напольного отопления</t>
    </r>
  </si>
  <si>
    <r>
      <t>5.</t>
    </r>
    <r>
      <rPr>
        <b/>
        <sz val="12"/>
        <color rgb="FF000000"/>
        <rFont val="Times New Roman"/>
        <family val="1"/>
        <charset val="204"/>
      </rPr>
      <t xml:space="preserve">    </t>
    </r>
    <r>
      <rPr>
        <b/>
        <sz val="12"/>
        <color rgb="FF000000"/>
        <rFont val="Cambria"/>
        <family val="1"/>
        <charset val="204"/>
      </rPr>
      <t>Цех по гранулированию</t>
    </r>
  </si>
  <si>
    <t>Кол-во (шт)</t>
  </si>
  <si>
    <t>Трансформатор 1000 (ТП-1)</t>
  </si>
  <si>
    <t>Конденсатор, компенсирующий 400 кВар</t>
  </si>
  <si>
    <t>Лаборатория освещение</t>
  </si>
  <si>
    <t>Мощн-едн (кВт*ч)</t>
  </si>
  <si>
    <t>Общ-мощн (кВт*ч)</t>
  </si>
  <si>
    <t>Стабилизатор 300</t>
  </si>
  <si>
    <t>Стабилизатор 150</t>
  </si>
  <si>
    <t>Стабилизатор 200</t>
  </si>
  <si>
    <t>Трансформатор 1000 (ТП-2)</t>
  </si>
  <si>
    <t>Трансформатор 1000 (ТП-3)</t>
  </si>
  <si>
    <t xml:space="preserve"> 123,2 ТЭН: 57 </t>
  </si>
  <si>
    <t>Конденсатор, компенсирующий 500 кВар</t>
  </si>
  <si>
    <t xml:space="preserve"> 81,7, ТЭН: 43</t>
  </si>
  <si>
    <t xml:space="preserve"> 8,2 , ТЭН: 43</t>
  </si>
  <si>
    <t xml:space="preserve"> 65,2 ТЭН:27</t>
  </si>
  <si>
    <t xml:space="preserve"> 66,6 ТЭН:48</t>
  </si>
  <si>
    <t xml:space="preserve"> 144,7 ТЭН: 12 </t>
  </si>
  <si>
    <t xml:space="preserve"> 123,2 ТЭН: 57</t>
  </si>
  <si>
    <t xml:space="preserve"> 96,9  ТЭН:30</t>
  </si>
  <si>
    <t xml:space="preserve"> 97,6 ТЭН:40</t>
  </si>
  <si>
    <t xml:space="preserve"> 81,7 ТЭН: 43</t>
  </si>
  <si>
    <t xml:space="preserve"> 59,5 ТЭН: 30 </t>
  </si>
  <si>
    <t xml:space="preserve"> 8,16 ТЭН: 43</t>
  </si>
  <si>
    <t xml:space="preserve"> 73,5 ТЭН: 6 </t>
  </si>
  <si>
    <t xml:space="preserve"> 3,7 ТЭН: 10 </t>
  </si>
  <si>
    <t xml:space="preserve"> 7,5 ТЭН: 17</t>
  </si>
  <si>
    <t xml:space="preserve"> 144,8 ТЭН:12 </t>
  </si>
  <si>
    <t>Трансформатор 100 (ТП-1)</t>
  </si>
  <si>
    <t xml:space="preserve">Конденсаторное компенсирующее устройство 500 кВар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</si>
</sst>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rgb="FF111111"/>
      <name val="HelveticaNeueCyr"/>
      <family val="3"/>
      <charset val="204"/>
    </font>
    <font>
      <b/>
      <sz val="12"/>
      <color rgb="FF000000"/>
      <name val="Cambria"/>
      <family val="1"/>
      <charset val="204"/>
    </font>
    <font>
      <sz val="12"/>
      <color rgb="FF000000"/>
      <name val="Cambria"/>
      <family val="1"/>
      <charset val="204"/>
    </font>
    <font>
      <b/>
      <sz val="12"/>
      <color rgb="FF111111"/>
      <name val="Cambria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111111"/>
      <name val="HelveticaNeueCyr"/>
      <family val="3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Cambria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5" fillId="0" borderId="0" xfId="0" applyFont="1" applyBorder="1"/>
    <xf numFmtId="164" fontId="3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2569-2FE7-491D-A647-07FE34837829}">
  <dimension ref="B2:I139"/>
  <sheetViews>
    <sheetView tabSelected="1" topLeftCell="A55" zoomScaleNormal="100" workbookViewId="0"/>
  </sheetViews>
  <sheetFormatPr defaultRowHeight="14.4" x14ac:dyDescent="0.3"/>
  <cols>
    <col min="1" max="1" width="18.33203125" customWidth="1"/>
    <col min="2" max="2" width="4.109375" bestFit="1" customWidth="1"/>
    <col min="3" max="3" width="45.6640625" customWidth="1"/>
    <col min="4" max="4" width="9.5546875" customWidth="1"/>
    <col min="5" max="5" width="14.88671875" customWidth="1"/>
    <col min="6" max="6" width="12.88671875" customWidth="1"/>
    <col min="7" max="7" width="8.33203125" customWidth="1"/>
  </cols>
  <sheetData>
    <row r="2" spans="2:7" ht="15.6" thickBot="1" x14ac:dyDescent="0.35">
      <c r="B2" s="32" t="s">
        <v>0</v>
      </c>
      <c r="C2" s="32"/>
      <c r="D2" s="32"/>
      <c r="E2" s="32"/>
      <c r="F2" s="32"/>
      <c r="G2" s="32"/>
    </row>
    <row r="3" spans="2:7" ht="30" x14ac:dyDescent="0.3">
      <c r="B3" s="6" t="s">
        <v>1</v>
      </c>
      <c r="C3" s="7" t="s">
        <v>2</v>
      </c>
      <c r="D3" s="7" t="s">
        <v>90</v>
      </c>
      <c r="E3" s="7" t="s">
        <v>94</v>
      </c>
      <c r="F3" s="7" t="s">
        <v>95</v>
      </c>
      <c r="G3" s="8" t="s">
        <v>83</v>
      </c>
    </row>
    <row r="4" spans="2:7" ht="15" x14ac:dyDescent="0.3">
      <c r="B4" s="6">
        <v>1</v>
      </c>
      <c r="C4" s="9" t="s">
        <v>118</v>
      </c>
      <c r="D4" s="9">
        <v>1</v>
      </c>
      <c r="E4" s="9"/>
      <c r="F4" s="9"/>
      <c r="G4" s="9"/>
    </row>
    <row r="5" spans="2:7" ht="15" x14ac:dyDescent="0.3">
      <c r="B5" s="6">
        <v>2</v>
      </c>
      <c r="C5" s="9" t="s">
        <v>96</v>
      </c>
      <c r="D5" s="9">
        <v>3</v>
      </c>
      <c r="E5" s="9"/>
      <c r="F5" s="9"/>
      <c r="G5" s="10" t="s">
        <v>66</v>
      </c>
    </row>
    <row r="6" spans="2:7" ht="15" x14ac:dyDescent="0.3">
      <c r="B6" s="6">
        <v>3</v>
      </c>
      <c r="C6" s="9" t="s">
        <v>97</v>
      </c>
      <c r="D6" s="9">
        <v>1</v>
      </c>
      <c r="E6" s="9"/>
      <c r="F6" s="9"/>
      <c r="G6" s="9" t="s">
        <v>65</v>
      </c>
    </row>
    <row r="7" spans="2:7" ht="15" x14ac:dyDescent="0.3">
      <c r="B7" s="6">
        <v>4</v>
      </c>
      <c r="C7" s="9" t="s">
        <v>92</v>
      </c>
      <c r="D7" s="9">
        <v>1</v>
      </c>
      <c r="E7" s="9"/>
      <c r="F7" s="9"/>
      <c r="G7" s="9" t="s">
        <v>65</v>
      </c>
    </row>
    <row r="8" spans="2:7" ht="15" x14ac:dyDescent="0.3">
      <c r="B8" s="6">
        <v>5</v>
      </c>
      <c r="C8" s="9" t="s">
        <v>4</v>
      </c>
      <c r="D8" s="9">
        <v>2</v>
      </c>
      <c r="E8" s="9">
        <v>7.5</v>
      </c>
      <c r="F8" s="9">
        <f t="shared" ref="F8:F16" si="0">D8*E8</f>
        <v>15</v>
      </c>
      <c r="G8" s="9" t="s">
        <v>16</v>
      </c>
    </row>
    <row r="9" spans="2:7" ht="15" x14ac:dyDescent="0.3">
      <c r="B9" s="6">
        <v>6</v>
      </c>
      <c r="C9" s="9" t="s">
        <v>4</v>
      </c>
      <c r="D9" s="9">
        <v>1</v>
      </c>
      <c r="E9" s="9">
        <v>2.2000000000000002</v>
      </c>
      <c r="F9" s="9">
        <f t="shared" si="0"/>
        <v>2.2000000000000002</v>
      </c>
      <c r="G9" s="9" t="s">
        <v>65</v>
      </c>
    </row>
    <row r="10" spans="2:7" ht="15" x14ac:dyDescent="0.3">
      <c r="B10" s="6">
        <v>7</v>
      </c>
      <c r="C10" s="9" t="s">
        <v>5</v>
      </c>
      <c r="D10" s="9">
        <v>1</v>
      </c>
      <c r="E10" s="9">
        <v>92</v>
      </c>
      <c r="F10" s="9">
        <f t="shared" si="0"/>
        <v>92</v>
      </c>
      <c r="G10" s="9" t="s">
        <v>16</v>
      </c>
    </row>
    <row r="11" spans="2:7" ht="15" x14ac:dyDescent="0.3">
      <c r="B11" s="6">
        <v>8</v>
      </c>
      <c r="C11" s="9" t="s">
        <v>63</v>
      </c>
      <c r="D11" s="9">
        <v>2</v>
      </c>
      <c r="E11" s="9">
        <v>22</v>
      </c>
      <c r="F11" s="9">
        <f t="shared" si="0"/>
        <v>44</v>
      </c>
      <c r="G11" s="9" t="s">
        <v>16</v>
      </c>
    </row>
    <row r="12" spans="2:7" ht="15" x14ac:dyDescent="0.3">
      <c r="B12" s="6">
        <v>9</v>
      </c>
      <c r="C12" s="9" t="s">
        <v>63</v>
      </c>
      <c r="D12" s="9">
        <v>1</v>
      </c>
      <c r="E12" s="9">
        <v>7.5</v>
      </c>
      <c r="F12" s="9">
        <f t="shared" si="0"/>
        <v>7.5</v>
      </c>
      <c r="G12" s="9" t="s">
        <v>65</v>
      </c>
    </row>
    <row r="13" spans="2:7" ht="15" x14ac:dyDescent="0.3">
      <c r="B13" s="6">
        <v>10</v>
      </c>
      <c r="C13" s="9" t="s">
        <v>7</v>
      </c>
      <c r="D13" s="9">
        <v>1</v>
      </c>
      <c r="E13" s="9">
        <v>3</v>
      </c>
      <c r="F13" s="9">
        <f t="shared" si="0"/>
        <v>3</v>
      </c>
      <c r="G13" s="9" t="s">
        <v>65</v>
      </c>
    </row>
    <row r="14" spans="2:7" ht="15" x14ac:dyDescent="0.3">
      <c r="B14" s="6">
        <v>11</v>
      </c>
      <c r="C14" s="9" t="s">
        <v>81</v>
      </c>
      <c r="D14" s="9">
        <v>1</v>
      </c>
      <c r="E14" s="9">
        <v>2.2000000000000002</v>
      </c>
      <c r="F14" s="9">
        <f t="shared" si="0"/>
        <v>2.2000000000000002</v>
      </c>
      <c r="G14" s="9" t="s">
        <v>65</v>
      </c>
    </row>
    <row r="15" spans="2:7" ht="15" x14ac:dyDescent="0.3">
      <c r="B15" s="6">
        <v>12</v>
      </c>
      <c r="C15" s="9" t="s">
        <v>81</v>
      </c>
      <c r="D15" s="9">
        <v>1</v>
      </c>
      <c r="E15" s="9">
        <v>1.5</v>
      </c>
      <c r="F15" s="9">
        <f t="shared" si="0"/>
        <v>1.5</v>
      </c>
      <c r="G15" s="9" t="s">
        <v>65</v>
      </c>
    </row>
    <row r="16" spans="2:7" ht="15" x14ac:dyDescent="0.3">
      <c r="B16" s="6">
        <v>13</v>
      </c>
      <c r="C16" s="9" t="s">
        <v>81</v>
      </c>
      <c r="D16" s="9">
        <v>1</v>
      </c>
      <c r="E16" s="9">
        <v>0.75</v>
      </c>
      <c r="F16" s="9">
        <f t="shared" si="0"/>
        <v>0.75</v>
      </c>
      <c r="G16" s="9" t="s">
        <v>65</v>
      </c>
    </row>
    <row r="17" spans="2:9" ht="30" x14ac:dyDescent="0.3">
      <c r="B17" s="6">
        <v>14</v>
      </c>
      <c r="C17" s="9" t="s">
        <v>8</v>
      </c>
      <c r="D17" s="9">
        <v>1</v>
      </c>
      <c r="E17" s="9" t="s">
        <v>67</v>
      </c>
      <c r="F17" s="9">
        <f>263.8+72</f>
        <v>335.8</v>
      </c>
      <c r="G17" s="6" t="s">
        <v>17</v>
      </c>
    </row>
    <row r="18" spans="2:9" ht="30" x14ac:dyDescent="0.3">
      <c r="B18" s="6">
        <v>15</v>
      </c>
      <c r="C18" s="9" t="s">
        <v>9</v>
      </c>
      <c r="D18" s="9">
        <v>1</v>
      </c>
      <c r="E18" s="9" t="s">
        <v>86</v>
      </c>
      <c r="F18" s="9">
        <f>260.8+66</f>
        <v>326.8</v>
      </c>
      <c r="G18" s="6" t="s">
        <v>18</v>
      </c>
    </row>
    <row r="19" spans="2:9" ht="30" x14ac:dyDescent="0.3">
      <c r="B19" s="6">
        <v>16</v>
      </c>
      <c r="C19" s="9" t="s">
        <v>10</v>
      </c>
      <c r="D19" s="9">
        <v>1</v>
      </c>
      <c r="E19" s="9" t="s">
        <v>85</v>
      </c>
      <c r="F19" s="9">
        <f>259.2+66</f>
        <v>325.2</v>
      </c>
      <c r="G19" s="6" t="s">
        <v>17</v>
      </c>
    </row>
    <row r="20" spans="2:9" ht="30" x14ac:dyDescent="0.3">
      <c r="B20" s="6">
        <v>17</v>
      </c>
      <c r="C20" s="9" t="s">
        <v>11</v>
      </c>
      <c r="D20" s="9">
        <v>1</v>
      </c>
      <c r="E20" s="9" t="s">
        <v>84</v>
      </c>
      <c r="F20" s="9">
        <f>243.6+60</f>
        <v>303.60000000000002</v>
      </c>
      <c r="G20" s="6" t="s">
        <v>17</v>
      </c>
    </row>
    <row r="21" spans="2:9" ht="32.4" customHeight="1" x14ac:dyDescent="0.3">
      <c r="B21" s="6">
        <v>18</v>
      </c>
      <c r="C21" s="9" t="s">
        <v>12</v>
      </c>
      <c r="D21" s="9">
        <v>1</v>
      </c>
      <c r="E21" s="9" t="s">
        <v>101</v>
      </c>
      <c r="F21" s="9">
        <f>123.2+57</f>
        <v>180.2</v>
      </c>
      <c r="G21" s="6" t="s">
        <v>17</v>
      </c>
    </row>
    <row r="22" spans="2:9" ht="30" x14ac:dyDescent="0.3">
      <c r="B22" s="6">
        <v>19</v>
      </c>
      <c r="C22" s="9" t="s">
        <v>19</v>
      </c>
      <c r="D22" s="9">
        <v>1</v>
      </c>
      <c r="E22" s="9" t="s">
        <v>74</v>
      </c>
      <c r="F22" s="9">
        <f>96.9+30</f>
        <v>126.9</v>
      </c>
      <c r="G22" s="6" t="s">
        <v>17</v>
      </c>
    </row>
    <row r="23" spans="2:9" ht="30" x14ac:dyDescent="0.3">
      <c r="B23" s="6">
        <v>20</v>
      </c>
      <c r="C23" s="9" t="s">
        <v>13</v>
      </c>
      <c r="D23" s="9">
        <v>1</v>
      </c>
      <c r="E23" s="9" t="s">
        <v>73</v>
      </c>
      <c r="F23" s="9">
        <f>97.6+40</f>
        <v>137.6</v>
      </c>
      <c r="G23" s="6" t="s">
        <v>17</v>
      </c>
    </row>
    <row r="24" spans="2:9" ht="22.2" customHeight="1" x14ac:dyDescent="0.3">
      <c r="B24" s="6">
        <v>21</v>
      </c>
      <c r="C24" s="9" t="s">
        <v>14</v>
      </c>
      <c r="D24" s="9">
        <v>1</v>
      </c>
      <c r="E24" s="9">
        <v>630</v>
      </c>
      <c r="F24" s="9">
        <f>D24*E24</f>
        <v>630</v>
      </c>
      <c r="G24" s="9" t="s">
        <v>65</v>
      </c>
    </row>
    <row r="25" spans="2:9" ht="15" x14ac:dyDescent="0.3">
      <c r="B25" s="6">
        <v>22</v>
      </c>
      <c r="C25" s="9" t="s">
        <v>15</v>
      </c>
      <c r="D25" s="9">
        <v>1</v>
      </c>
      <c r="E25" s="9">
        <v>1.8</v>
      </c>
      <c r="F25" s="9">
        <f>D25*E25</f>
        <v>1.8</v>
      </c>
      <c r="G25" s="9" t="s">
        <v>65</v>
      </c>
    </row>
    <row r="26" spans="2:9" ht="15" x14ac:dyDescent="0.3">
      <c r="B26" s="30" t="s">
        <v>87</v>
      </c>
      <c r="C26" s="31"/>
      <c r="D26" s="7">
        <f>SUM(D4:D25)</f>
        <v>26</v>
      </c>
      <c r="E26" s="7"/>
      <c r="F26" s="7">
        <f>SUM(F4:F25)</f>
        <v>2536.0500000000002</v>
      </c>
      <c r="G26" s="7">
        <v>10</v>
      </c>
    </row>
    <row r="27" spans="2:9" ht="15.6" x14ac:dyDescent="0.3">
      <c r="B27" s="11"/>
      <c r="C27" s="11"/>
      <c r="D27" s="11"/>
      <c r="E27" s="11"/>
      <c r="F27" s="11"/>
      <c r="G27" s="11"/>
    </row>
    <row r="28" spans="2:9" ht="15" x14ac:dyDescent="0.3">
      <c r="B28" s="27" t="s">
        <v>20</v>
      </c>
      <c r="C28" s="27"/>
      <c r="D28" s="27"/>
      <c r="E28" s="27"/>
      <c r="F28" s="27"/>
      <c r="G28" s="27"/>
      <c r="H28" s="1"/>
      <c r="I28" s="1"/>
    </row>
    <row r="29" spans="2:9" ht="30" x14ac:dyDescent="0.3">
      <c r="B29" s="6" t="s">
        <v>1</v>
      </c>
      <c r="C29" s="7" t="s">
        <v>2</v>
      </c>
      <c r="D29" s="7" t="s">
        <v>90</v>
      </c>
      <c r="E29" s="7" t="s">
        <v>94</v>
      </c>
      <c r="F29" s="7" t="s">
        <v>95</v>
      </c>
      <c r="G29" s="8" t="s">
        <v>83</v>
      </c>
      <c r="H29" s="1"/>
      <c r="I29" s="1"/>
    </row>
    <row r="30" spans="2:9" ht="15" x14ac:dyDescent="0.3">
      <c r="B30" s="6">
        <v>1</v>
      </c>
      <c r="C30" s="9" t="s">
        <v>100</v>
      </c>
      <c r="D30" s="9">
        <v>1</v>
      </c>
      <c r="E30" s="9"/>
      <c r="F30" s="9"/>
      <c r="G30" s="9" t="s">
        <v>65</v>
      </c>
      <c r="H30" s="1"/>
      <c r="I30" s="1"/>
    </row>
    <row r="31" spans="2:9" ht="15" x14ac:dyDescent="0.3">
      <c r="B31" s="6">
        <v>2</v>
      </c>
      <c r="C31" s="9" t="s">
        <v>102</v>
      </c>
      <c r="D31" s="9">
        <v>1</v>
      </c>
      <c r="E31" s="9"/>
      <c r="F31" s="9"/>
      <c r="G31" s="9" t="s">
        <v>65</v>
      </c>
      <c r="H31" s="1"/>
      <c r="I31" s="1"/>
    </row>
    <row r="32" spans="2:9" ht="15" x14ac:dyDescent="0.3">
      <c r="B32" s="6">
        <v>3</v>
      </c>
      <c r="C32" s="9" t="s">
        <v>21</v>
      </c>
      <c r="D32" s="9">
        <v>1</v>
      </c>
      <c r="E32" s="9">
        <v>15.8</v>
      </c>
      <c r="F32" s="9">
        <f t="shared" ref="F32:F39" si="1">D32*E32</f>
        <v>15.8</v>
      </c>
      <c r="G32" s="9" t="s">
        <v>65</v>
      </c>
      <c r="H32" s="1"/>
      <c r="I32" s="1"/>
    </row>
    <row r="33" spans="2:9" ht="15" x14ac:dyDescent="0.3">
      <c r="B33" s="6">
        <v>4</v>
      </c>
      <c r="C33" s="9" t="s">
        <v>96</v>
      </c>
      <c r="D33" s="9">
        <v>1</v>
      </c>
      <c r="E33" s="9"/>
      <c r="F33" s="9"/>
      <c r="G33" s="9"/>
      <c r="H33" s="1"/>
      <c r="I33" s="1"/>
    </row>
    <row r="34" spans="2:9" ht="15" x14ac:dyDescent="0.3">
      <c r="B34" s="6">
        <v>5</v>
      </c>
      <c r="C34" s="9" t="s">
        <v>98</v>
      </c>
      <c r="D34" s="9">
        <v>2</v>
      </c>
      <c r="E34" s="9"/>
      <c r="F34" s="9"/>
      <c r="G34" s="9"/>
      <c r="H34" s="1"/>
      <c r="I34" s="1"/>
    </row>
    <row r="35" spans="2:9" ht="15" x14ac:dyDescent="0.3">
      <c r="B35" s="6">
        <v>6</v>
      </c>
      <c r="C35" s="9" t="s">
        <v>5</v>
      </c>
      <c r="D35" s="9">
        <v>1</v>
      </c>
      <c r="E35" s="9">
        <v>26</v>
      </c>
      <c r="F35" s="9">
        <f t="shared" si="1"/>
        <v>26</v>
      </c>
      <c r="G35" s="9" t="s">
        <v>65</v>
      </c>
      <c r="H35" s="1"/>
      <c r="I35" s="1"/>
    </row>
    <row r="36" spans="2:9" ht="15.6" thickBot="1" x14ac:dyDescent="0.35">
      <c r="B36" s="6">
        <v>7</v>
      </c>
      <c r="C36" s="9" t="s">
        <v>22</v>
      </c>
      <c r="D36" s="9">
        <v>1</v>
      </c>
      <c r="E36" s="9">
        <v>6</v>
      </c>
      <c r="F36" s="9">
        <f t="shared" si="1"/>
        <v>6</v>
      </c>
      <c r="G36" s="9" t="s">
        <v>65</v>
      </c>
      <c r="H36" s="1"/>
      <c r="I36" s="1"/>
    </row>
    <row r="37" spans="2:9" ht="15" x14ac:dyDescent="0.3">
      <c r="B37" s="6">
        <v>8</v>
      </c>
      <c r="C37" s="9" t="s">
        <v>23</v>
      </c>
      <c r="D37" s="9">
        <v>1</v>
      </c>
      <c r="E37" s="9">
        <v>4</v>
      </c>
      <c r="F37" s="9">
        <f t="shared" si="1"/>
        <v>4</v>
      </c>
      <c r="G37" s="9" t="s">
        <v>65</v>
      </c>
      <c r="H37" s="1"/>
      <c r="I37" s="1"/>
    </row>
    <row r="38" spans="2:9" ht="15" x14ac:dyDescent="0.3">
      <c r="B38" s="6">
        <v>9</v>
      </c>
      <c r="C38" s="9" t="s">
        <v>6</v>
      </c>
      <c r="D38" s="9">
        <v>1</v>
      </c>
      <c r="E38" s="9">
        <v>22</v>
      </c>
      <c r="F38" s="9">
        <f t="shared" si="1"/>
        <v>22</v>
      </c>
      <c r="G38" s="9" t="s">
        <v>65</v>
      </c>
      <c r="H38" s="1"/>
      <c r="I38" s="1"/>
    </row>
    <row r="39" spans="2:9" ht="15" x14ac:dyDescent="0.3">
      <c r="B39" s="6">
        <v>10</v>
      </c>
      <c r="C39" s="9" t="s">
        <v>68</v>
      </c>
      <c r="D39" s="9">
        <v>1</v>
      </c>
      <c r="E39" s="9">
        <v>18.5</v>
      </c>
      <c r="F39" s="9">
        <f t="shared" si="1"/>
        <v>18.5</v>
      </c>
      <c r="G39" s="9" t="s">
        <v>65</v>
      </c>
      <c r="H39" s="1"/>
      <c r="I39" s="1"/>
    </row>
    <row r="40" spans="2:9" ht="15" x14ac:dyDescent="0.3">
      <c r="B40" s="6">
        <v>11</v>
      </c>
      <c r="C40" s="9" t="s">
        <v>24</v>
      </c>
      <c r="D40" s="9">
        <v>1</v>
      </c>
      <c r="E40" s="9" t="s">
        <v>103</v>
      </c>
      <c r="F40" s="9">
        <f>81.6+43</f>
        <v>124.6</v>
      </c>
      <c r="G40" s="6" t="s">
        <v>16</v>
      </c>
      <c r="H40" s="1"/>
      <c r="I40" s="1"/>
    </row>
    <row r="41" spans="2:9" ht="30" x14ac:dyDescent="0.3">
      <c r="B41" s="6">
        <v>12</v>
      </c>
      <c r="C41" s="9" t="s">
        <v>25</v>
      </c>
      <c r="D41" s="9">
        <v>1</v>
      </c>
      <c r="E41" s="9" t="s">
        <v>69</v>
      </c>
      <c r="F41" s="9">
        <f>59.5+30</f>
        <v>89.5</v>
      </c>
      <c r="G41" s="6" t="s">
        <v>16</v>
      </c>
      <c r="H41" s="1"/>
      <c r="I41" s="1"/>
    </row>
    <row r="42" spans="2:9" ht="15" x14ac:dyDescent="0.3">
      <c r="B42" s="6">
        <v>13</v>
      </c>
      <c r="C42" s="9" t="s">
        <v>26</v>
      </c>
      <c r="D42" s="9">
        <v>1</v>
      </c>
      <c r="E42" s="9" t="s">
        <v>104</v>
      </c>
      <c r="F42" s="9">
        <f>8.1+43</f>
        <v>51.1</v>
      </c>
      <c r="G42" s="6" t="s">
        <v>16</v>
      </c>
      <c r="H42" s="1"/>
      <c r="I42" s="1"/>
    </row>
    <row r="43" spans="2:9" ht="15" x14ac:dyDescent="0.3">
      <c r="B43" s="6">
        <v>14</v>
      </c>
      <c r="C43" s="9" t="s">
        <v>27</v>
      </c>
      <c r="D43" s="9">
        <v>1</v>
      </c>
      <c r="E43" s="9">
        <v>157.30000000000001</v>
      </c>
      <c r="F43" s="9">
        <f>E43</f>
        <v>157.30000000000001</v>
      </c>
      <c r="G43" s="9" t="s">
        <v>16</v>
      </c>
      <c r="H43" s="1"/>
      <c r="I43" s="1"/>
    </row>
    <row r="44" spans="2:9" ht="15" x14ac:dyDescent="0.3">
      <c r="B44" s="6">
        <v>15</v>
      </c>
      <c r="C44" s="9" t="s">
        <v>28</v>
      </c>
      <c r="D44" s="9">
        <v>1</v>
      </c>
      <c r="E44" s="9">
        <v>102.2</v>
      </c>
      <c r="F44" s="9">
        <f>E44</f>
        <v>102.2</v>
      </c>
      <c r="G44" s="9"/>
      <c r="H44" s="1"/>
      <c r="I44" s="1"/>
    </row>
    <row r="45" spans="2:9" ht="15" x14ac:dyDescent="0.3">
      <c r="B45" s="6">
        <v>16</v>
      </c>
      <c r="C45" s="9" t="s">
        <v>29</v>
      </c>
      <c r="D45" s="9">
        <v>1</v>
      </c>
      <c r="E45" s="9" t="s">
        <v>70</v>
      </c>
      <c r="F45" s="9">
        <f>73.5+6</f>
        <v>79.5</v>
      </c>
      <c r="G45" s="9" t="s">
        <v>17</v>
      </c>
      <c r="H45" s="1"/>
      <c r="I45" s="1"/>
    </row>
    <row r="46" spans="2:9" ht="30" x14ac:dyDescent="0.3">
      <c r="B46" s="6">
        <v>17</v>
      </c>
      <c r="C46" s="9" t="s">
        <v>30</v>
      </c>
      <c r="D46" s="9">
        <v>1</v>
      </c>
      <c r="E46" s="9" t="s">
        <v>82</v>
      </c>
      <c r="F46" s="9">
        <f>9.5+17</f>
        <v>26.5</v>
      </c>
      <c r="G46" s="9" t="s">
        <v>16</v>
      </c>
      <c r="H46" s="1"/>
      <c r="I46" s="1"/>
    </row>
    <row r="47" spans="2:9" ht="30" x14ac:dyDescent="0.3">
      <c r="B47" s="6">
        <v>18</v>
      </c>
      <c r="C47" s="9" t="s">
        <v>30</v>
      </c>
      <c r="D47" s="9">
        <v>1</v>
      </c>
      <c r="E47" s="9" t="s">
        <v>71</v>
      </c>
      <c r="F47" s="9">
        <f>3.7+10</f>
        <v>13.7</v>
      </c>
      <c r="G47" s="9" t="s">
        <v>16</v>
      </c>
      <c r="H47" s="1"/>
      <c r="I47" s="1"/>
    </row>
    <row r="48" spans="2:9" ht="30" x14ac:dyDescent="0.3">
      <c r="B48" s="6">
        <v>19</v>
      </c>
      <c r="C48" s="9" t="s">
        <v>30</v>
      </c>
      <c r="D48" s="9">
        <v>1</v>
      </c>
      <c r="E48" s="9" t="s">
        <v>72</v>
      </c>
      <c r="F48" s="9">
        <f>7.5+17</f>
        <v>24.5</v>
      </c>
      <c r="G48" s="9" t="s">
        <v>16</v>
      </c>
      <c r="H48" s="1"/>
      <c r="I48" s="1"/>
    </row>
    <row r="49" spans="2:9" ht="15" x14ac:dyDescent="0.3">
      <c r="B49" s="6">
        <v>20</v>
      </c>
      <c r="C49" s="9" t="s">
        <v>31</v>
      </c>
      <c r="D49" s="9">
        <v>1</v>
      </c>
      <c r="E49" s="9">
        <v>3</v>
      </c>
      <c r="F49" s="9">
        <f>E49</f>
        <v>3</v>
      </c>
      <c r="G49" s="9" t="s">
        <v>65</v>
      </c>
      <c r="H49" s="1"/>
      <c r="I49" s="1"/>
    </row>
    <row r="50" spans="2:9" ht="15" x14ac:dyDescent="0.3">
      <c r="B50" s="6">
        <v>21</v>
      </c>
      <c r="C50" s="9" t="s">
        <v>31</v>
      </c>
      <c r="D50" s="9">
        <v>1</v>
      </c>
      <c r="E50" s="6">
        <v>5.5</v>
      </c>
      <c r="F50" s="9">
        <f t="shared" ref="F50:F51" si="2">E50</f>
        <v>5.5</v>
      </c>
      <c r="G50" s="9" t="s">
        <v>65</v>
      </c>
      <c r="H50" s="1"/>
      <c r="I50" s="1"/>
    </row>
    <row r="51" spans="2:9" ht="15" x14ac:dyDescent="0.3">
      <c r="B51" s="6">
        <v>22</v>
      </c>
      <c r="C51" s="9" t="s">
        <v>15</v>
      </c>
      <c r="D51" s="9">
        <v>1</v>
      </c>
      <c r="E51" s="9">
        <v>2</v>
      </c>
      <c r="F51" s="9">
        <f t="shared" si="2"/>
        <v>2</v>
      </c>
      <c r="G51" s="9" t="s">
        <v>65</v>
      </c>
      <c r="H51" s="1"/>
      <c r="I51" s="1"/>
    </row>
    <row r="52" spans="2:9" ht="15" x14ac:dyDescent="0.3">
      <c r="B52" s="24" t="s">
        <v>87</v>
      </c>
      <c r="C52" s="24"/>
      <c r="D52" s="7">
        <f>SUM(D30:D51)</f>
        <v>23</v>
      </c>
      <c r="E52" s="7"/>
      <c r="F52" s="7">
        <f>SUM(F30:F51)</f>
        <v>771.7</v>
      </c>
      <c r="G52" s="7">
        <v>8</v>
      </c>
      <c r="H52" s="1"/>
      <c r="I52" s="1"/>
    </row>
    <row r="53" spans="2:9" ht="15.6" x14ac:dyDescent="0.3">
      <c r="B53" s="3"/>
      <c r="C53" s="2"/>
      <c r="D53" s="2"/>
      <c r="E53" s="2"/>
      <c r="F53" s="2"/>
      <c r="G53" s="2"/>
    </row>
    <row r="54" spans="2:9" ht="34.799999999999997" customHeight="1" x14ac:dyDescent="0.3">
      <c r="B54" s="29" t="s">
        <v>32</v>
      </c>
      <c r="C54" s="29"/>
      <c r="D54" s="29"/>
      <c r="E54" s="29"/>
      <c r="F54" s="29"/>
      <c r="G54" s="29"/>
      <c r="H54" s="1"/>
    </row>
    <row r="55" spans="2:9" ht="30" x14ac:dyDescent="0.3">
      <c r="B55" s="18" t="s">
        <v>1</v>
      </c>
      <c r="C55" s="7" t="s">
        <v>2</v>
      </c>
      <c r="D55" s="7" t="s">
        <v>90</v>
      </c>
      <c r="E55" s="7" t="s">
        <v>94</v>
      </c>
      <c r="F55" s="7" t="s">
        <v>95</v>
      </c>
      <c r="G55" s="8" t="s">
        <v>83</v>
      </c>
      <c r="H55" s="1"/>
    </row>
    <row r="56" spans="2:9" ht="15" x14ac:dyDescent="0.3">
      <c r="B56" s="6">
        <v>1</v>
      </c>
      <c r="C56" s="9" t="s">
        <v>99</v>
      </c>
      <c r="D56" s="9">
        <v>1</v>
      </c>
      <c r="E56" s="9"/>
      <c r="F56" s="9"/>
      <c r="G56" s="9" t="s">
        <v>65</v>
      </c>
      <c r="H56" s="1"/>
    </row>
    <row r="57" spans="2:9" ht="30" x14ac:dyDescent="0.3">
      <c r="B57" s="6">
        <v>2</v>
      </c>
      <c r="C57" s="9" t="s">
        <v>119</v>
      </c>
      <c r="D57" s="9">
        <v>1</v>
      </c>
      <c r="E57" s="9"/>
      <c r="F57" s="9"/>
      <c r="G57" s="9" t="s">
        <v>65</v>
      </c>
      <c r="H57" s="1"/>
    </row>
    <row r="58" spans="2:9" ht="15" x14ac:dyDescent="0.3">
      <c r="B58" s="6">
        <v>3</v>
      </c>
      <c r="C58" s="9" t="s">
        <v>5</v>
      </c>
      <c r="D58" s="9">
        <v>1</v>
      </c>
      <c r="E58" s="9">
        <v>45</v>
      </c>
      <c r="F58" s="9">
        <f t="shared" ref="F58:F72" si="3">D58*E58</f>
        <v>45</v>
      </c>
      <c r="G58" s="9" t="s">
        <v>65</v>
      </c>
      <c r="H58" s="1"/>
    </row>
    <row r="59" spans="2:9" ht="15" x14ac:dyDescent="0.3">
      <c r="B59" s="6">
        <v>4</v>
      </c>
      <c r="C59" s="9" t="s">
        <v>5</v>
      </c>
      <c r="D59" s="9">
        <v>1</v>
      </c>
      <c r="E59" s="9">
        <v>43.5</v>
      </c>
      <c r="F59" s="9">
        <f t="shared" si="3"/>
        <v>43.5</v>
      </c>
      <c r="G59" s="9" t="s">
        <v>65</v>
      </c>
      <c r="H59" s="1"/>
    </row>
    <row r="60" spans="2:9" ht="15" x14ac:dyDescent="0.3">
      <c r="B60" s="6">
        <v>5</v>
      </c>
      <c r="C60" s="9" t="s">
        <v>33</v>
      </c>
      <c r="D60" s="9">
        <v>1</v>
      </c>
      <c r="E60" s="9">
        <v>4</v>
      </c>
      <c r="F60" s="9">
        <f t="shared" si="3"/>
        <v>4</v>
      </c>
      <c r="G60" s="9" t="s">
        <v>65</v>
      </c>
      <c r="H60" s="1"/>
    </row>
    <row r="61" spans="2:9" ht="15" x14ac:dyDescent="0.3">
      <c r="B61" s="6">
        <v>6</v>
      </c>
      <c r="C61" s="9" t="s">
        <v>34</v>
      </c>
      <c r="D61" s="9">
        <v>7</v>
      </c>
      <c r="E61" s="12">
        <v>2.2000000000000002</v>
      </c>
      <c r="F61" s="9">
        <f t="shared" si="3"/>
        <v>15.400000000000002</v>
      </c>
      <c r="G61" s="9" t="s">
        <v>65</v>
      </c>
      <c r="H61" s="1"/>
    </row>
    <row r="62" spans="2:9" ht="15" x14ac:dyDescent="0.3">
      <c r="B62" s="6">
        <v>7</v>
      </c>
      <c r="C62" s="9" t="s">
        <v>35</v>
      </c>
      <c r="D62" s="9">
        <v>1</v>
      </c>
      <c r="E62" s="9">
        <v>91.1</v>
      </c>
      <c r="F62" s="9">
        <f t="shared" si="3"/>
        <v>91.1</v>
      </c>
      <c r="G62" s="9" t="s">
        <v>65</v>
      </c>
      <c r="H62" s="1"/>
    </row>
    <row r="63" spans="2:9" ht="15" x14ac:dyDescent="0.3">
      <c r="B63" s="6">
        <v>8</v>
      </c>
      <c r="C63" s="9" t="s">
        <v>36</v>
      </c>
      <c r="D63" s="9">
        <v>1</v>
      </c>
      <c r="E63" s="9">
        <v>75.099999999999994</v>
      </c>
      <c r="F63" s="9">
        <f t="shared" si="3"/>
        <v>75.099999999999994</v>
      </c>
      <c r="G63" s="9" t="s">
        <v>65</v>
      </c>
      <c r="H63" s="1"/>
    </row>
    <row r="64" spans="2:9" ht="15" x14ac:dyDescent="0.3">
      <c r="B64" s="6">
        <v>9</v>
      </c>
      <c r="C64" s="9" t="s">
        <v>36</v>
      </c>
      <c r="D64" s="9">
        <v>1</v>
      </c>
      <c r="E64" s="9">
        <v>75.7</v>
      </c>
      <c r="F64" s="9">
        <f t="shared" si="3"/>
        <v>75.7</v>
      </c>
      <c r="G64" s="9" t="s">
        <v>65</v>
      </c>
      <c r="H64" s="1"/>
    </row>
    <row r="65" spans="2:8" ht="15" x14ac:dyDescent="0.3">
      <c r="B65" s="6">
        <v>10</v>
      </c>
      <c r="C65" s="9" t="s">
        <v>37</v>
      </c>
      <c r="D65" s="9">
        <v>2</v>
      </c>
      <c r="E65" s="9">
        <v>61.48</v>
      </c>
      <c r="F65" s="9">
        <f t="shared" si="3"/>
        <v>122.96</v>
      </c>
      <c r="G65" s="9" t="s">
        <v>65</v>
      </c>
      <c r="H65" s="1"/>
    </row>
    <row r="66" spans="2:8" ht="15" x14ac:dyDescent="0.3">
      <c r="B66" s="6">
        <v>11</v>
      </c>
      <c r="C66" s="9" t="s">
        <v>38</v>
      </c>
      <c r="D66" s="9">
        <v>2</v>
      </c>
      <c r="E66" s="9">
        <v>68</v>
      </c>
      <c r="F66" s="9">
        <f t="shared" si="3"/>
        <v>136</v>
      </c>
      <c r="G66" s="9" t="s">
        <v>65</v>
      </c>
      <c r="H66" s="1"/>
    </row>
    <row r="67" spans="2:8" ht="15" x14ac:dyDescent="0.3">
      <c r="B67" s="6">
        <v>12</v>
      </c>
      <c r="C67" s="9" t="s">
        <v>39</v>
      </c>
      <c r="D67" s="9">
        <v>3</v>
      </c>
      <c r="E67" s="9">
        <v>59.2</v>
      </c>
      <c r="F67" s="9">
        <f t="shared" si="3"/>
        <v>177.60000000000002</v>
      </c>
      <c r="G67" s="9" t="s">
        <v>65</v>
      </c>
      <c r="H67" s="1"/>
    </row>
    <row r="68" spans="2:8" ht="15" x14ac:dyDescent="0.3">
      <c r="B68" s="6">
        <v>13</v>
      </c>
      <c r="C68" s="9" t="s">
        <v>40</v>
      </c>
      <c r="D68" s="9">
        <v>4</v>
      </c>
      <c r="E68" s="9">
        <v>48.5</v>
      </c>
      <c r="F68" s="9">
        <f t="shared" si="3"/>
        <v>194</v>
      </c>
      <c r="G68" s="9" t="s">
        <v>65</v>
      </c>
      <c r="H68" s="1"/>
    </row>
    <row r="69" spans="2:8" ht="15" x14ac:dyDescent="0.3">
      <c r="B69" s="6">
        <v>14</v>
      </c>
      <c r="C69" s="9" t="s">
        <v>41</v>
      </c>
      <c r="D69" s="9">
        <v>2</v>
      </c>
      <c r="E69" s="9">
        <v>38.25</v>
      </c>
      <c r="F69" s="9">
        <f t="shared" si="3"/>
        <v>76.5</v>
      </c>
      <c r="G69" s="9" t="s">
        <v>65</v>
      </c>
      <c r="H69" s="1"/>
    </row>
    <row r="70" spans="2:8" ht="15" x14ac:dyDescent="0.3">
      <c r="B70" s="6">
        <v>15</v>
      </c>
      <c r="C70" s="9" t="s">
        <v>42</v>
      </c>
      <c r="D70" s="9">
        <v>2</v>
      </c>
      <c r="E70" s="9">
        <v>66.25</v>
      </c>
      <c r="F70" s="9">
        <f t="shared" si="3"/>
        <v>132.5</v>
      </c>
      <c r="G70" s="9" t="s">
        <v>65</v>
      </c>
      <c r="H70" s="1"/>
    </row>
    <row r="71" spans="2:8" ht="15" x14ac:dyDescent="0.3">
      <c r="B71" s="6">
        <v>16</v>
      </c>
      <c r="C71" s="9" t="s">
        <v>43</v>
      </c>
      <c r="D71" s="9">
        <v>1</v>
      </c>
      <c r="E71" s="9">
        <v>56.3</v>
      </c>
      <c r="F71" s="9">
        <f t="shared" si="3"/>
        <v>56.3</v>
      </c>
      <c r="G71" s="9" t="s">
        <v>65</v>
      </c>
      <c r="H71" s="1"/>
    </row>
    <row r="72" spans="2:8" ht="15" x14ac:dyDescent="0.3">
      <c r="B72" s="6">
        <v>17</v>
      </c>
      <c r="C72" s="9" t="s">
        <v>15</v>
      </c>
      <c r="D72" s="9">
        <v>1</v>
      </c>
      <c r="E72" s="12">
        <v>3.3</v>
      </c>
      <c r="F72" s="9">
        <f t="shared" si="3"/>
        <v>3.3</v>
      </c>
      <c r="G72" s="9" t="s">
        <v>65</v>
      </c>
      <c r="H72" s="1"/>
    </row>
    <row r="73" spans="2:8" ht="15" x14ac:dyDescent="0.3">
      <c r="B73" s="24" t="s">
        <v>87</v>
      </c>
      <c r="C73" s="24"/>
      <c r="D73" s="7">
        <f>SUM(D56:D72)</f>
        <v>32</v>
      </c>
      <c r="E73" s="19"/>
      <c r="F73" s="7">
        <f>SUM(F56:F72)</f>
        <v>1248.96</v>
      </c>
      <c r="G73" s="7">
        <v>0</v>
      </c>
      <c r="H73" s="1"/>
    </row>
    <row r="74" spans="2:8" ht="15.6" x14ac:dyDescent="0.3">
      <c r="B74" s="4"/>
      <c r="C74" s="5"/>
      <c r="D74" s="5"/>
      <c r="E74" s="5"/>
      <c r="F74" s="5"/>
      <c r="G74" s="5"/>
      <c r="H74" s="1"/>
    </row>
    <row r="75" spans="2:8" ht="15.6" x14ac:dyDescent="0.3">
      <c r="B75" s="28" t="s">
        <v>88</v>
      </c>
      <c r="C75" s="28"/>
      <c r="D75" s="28"/>
      <c r="E75" s="28"/>
      <c r="F75" s="28"/>
      <c r="G75" s="28"/>
      <c r="H75" s="1"/>
    </row>
    <row r="76" spans="2:8" ht="45" x14ac:dyDescent="0.3">
      <c r="B76" s="6" t="s">
        <v>1</v>
      </c>
      <c r="C76" s="7" t="s">
        <v>2</v>
      </c>
      <c r="D76" s="7" t="s">
        <v>90</v>
      </c>
      <c r="E76" s="7" t="s">
        <v>94</v>
      </c>
      <c r="F76" s="7" t="s">
        <v>95</v>
      </c>
      <c r="G76" s="8" t="s">
        <v>83</v>
      </c>
      <c r="H76" s="1"/>
    </row>
    <row r="77" spans="2:8" ht="39.6" customHeight="1" x14ac:dyDescent="0.3">
      <c r="B77" s="6">
        <v>1</v>
      </c>
      <c r="C77" s="9" t="s">
        <v>45</v>
      </c>
      <c r="D77" s="9">
        <v>1</v>
      </c>
      <c r="E77" s="9" t="s">
        <v>105</v>
      </c>
      <c r="F77" s="9">
        <f>65.15+27</f>
        <v>92.15</v>
      </c>
      <c r="G77" s="6" t="s">
        <v>16</v>
      </c>
      <c r="H77" s="1"/>
    </row>
    <row r="78" spans="2:8" ht="32.4" customHeight="1" x14ac:dyDescent="0.3">
      <c r="B78" s="6">
        <v>2</v>
      </c>
      <c r="C78" s="9" t="s">
        <v>45</v>
      </c>
      <c r="D78" s="9">
        <v>1</v>
      </c>
      <c r="E78" s="9" t="s">
        <v>106</v>
      </c>
      <c r="F78" s="9">
        <f>66.6+48</f>
        <v>114.6</v>
      </c>
      <c r="G78" s="6" t="s">
        <v>16</v>
      </c>
      <c r="H78" s="1"/>
    </row>
    <row r="79" spans="2:8" ht="30" x14ac:dyDescent="0.3">
      <c r="B79" s="6">
        <v>3</v>
      </c>
      <c r="C79" s="9" t="s">
        <v>46</v>
      </c>
      <c r="D79" s="9">
        <v>1</v>
      </c>
      <c r="E79" s="9" t="s">
        <v>107</v>
      </c>
      <c r="F79" s="9">
        <f>144.7+12</f>
        <v>156.69999999999999</v>
      </c>
      <c r="G79" s="6" t="s">
        <v>16</v>
      </c>
      <c r="H79" s="1"/>
    </row>
    <row r="80" spans="2:8" ht="15" x14ac:dyDescent="0.3">
      <c r="B80" s="6">
        <v>4</v>
      </c>
      <c r="C80" s="9" t="s">
        <v>97</v>
      </c>
      <c r="D80" s="9">
        <v>1</v>
      </c>
      <c r="E80" s="9"/>
      <c r="F80" s="9"/>
      <c r="G80" s="9"/>
      <c r="H80" s="1"/>
    </row>
    <row r="81" spans="2:8" ht="15" x14ac:dyDescent="0.3">
      <c r="B81" s="6">
        <v>5</v>
      </c>
      <c r="C81" s="9" t="s">
        <v>15</v>
      </c>
      <c r="D81" s="9">
        <v>1</v>
      </c>
      <c r="E81" s="9">
        <v>1</v>
      </c>
      <c r="F81" s="9">
        <f>E81</f>
        <v>1</v>
      </c>
      <c r="G81" s="9" t="s">
        <v>65</v>
      </c>
      <c r="H81" s="1"/>
    </row>
    <row r="82" spans="2:8" ht="15" x14ac:dyDescent="0.3">
      <c r="B82" s="24" t="s">
        <v>87</v>
      </c>
      <c r="C82" s="24"/>
      <c r="D82" s="7">
        <f>SUM(D77:D81)</f>
        <v>5</v>
      </c>
      <c r="E82" s="7"/>
      <c r="F82" s="7">
        <f>SUM(F77:F81)</f>
        <v>364.45</v>
      </c>
      <c r="G82" s="7">
        <v>3</v>
      </c>
      <c r="H82" s="1"/>
    </row>
    <row r="83" spans="2:8" ht="15" x14ac:dyDescent="0.3">
      <c r="B83" s="14"/>
      <c r="C83" s="15"/>
      <c r="D83" s="16"/>
      <c r="E83" s="16"/>
      <c r="F83" s="16"/>
      <c r="G83" s="16"/>
      <c r="H83" s="1"/>
    </row>
    <row r="84" spans="2:8" ht="15" x14ac:dyDescent="0.3">
      <c r="B84" s="27" t="s">
        <v>89</v>
      </c>
      <c r="C84" s="27"/>
      <c r="D84" s="27"/>
      <c r="E84" s="27"/>
      <c r="F84" s="27"/>
      <c r="G84" s="27"/>
      <c r="H84" s="1"/>
    </row>
    <row r="85" spans="2:8" ht="45" x14ac:dyDescent="0.3">
      <c r="B85" s="6" t="s">
        <v>1</v>
      </c>
      <c r="C85" s="7" t="s">
        <v>2</v>
      </c>
      <c r="D85" s="7" t="s">
        <v>90</v>
      </c>
      <c r="E85" s="7" t="s">
        <v>94</v>
      </c>
      <c r="F85" s="7" t="s">
        <v>95</v>
      </c>
      <c r="G85" s="8" t="s">
        <v>83</v>
      </c>
      <c r="H85" s="1"/>
    </row>
    <row r="86" spans="2:8" ht="15" x14ac:dyDescent="0.3">
      <c r="B86" s="6">
        <v>1</v>
      </c>
      <c r="C86" s="9" t="s">
        <v>47</v>
      </c>
      <c r="D86" s="9">
        <v>1</v>
      </c>
      <c r="E86" s="9">
        <v>157.44999999999999</v>
      </c>
      <c r="F86" s="9">
        <f>D86*E86</f>
        <v>157.44999999999999</v>
      </c>
      <c r="G86" s="6" t="s">
        <v>16</v>
      </c>
      <c r="H86" s="1"/>
    </row>
    <row r="87" spans="2:8" ht="15" x14ac:dyDescent="0.3">
      <c r="B87" s="6">
        <v>2</v>
      </c>
      <c r="C87" s="9" t="s">
        <v>79</v>
      </c>
      <c r="D87" s="9">
        <v>1</v>
      </c>
      <c r="E87" s="9">
        <v>39</v>
      </c>
      <c r="F87" s="9">
        <f t="shared" ref="F87:F94" si="4">D87*E87</f>
        <v>39</v>
      </c>
      <c r="G87" s="6" t="s">
        <v>16</v>
      </c>
      <c r="H87" s="1"/>
    </row>
    <row r="88" spans="2:8" ht="15" x14ac:dyDescent="0.3">
      <c r="B88" s="6">
        <v>3</v>
      </c>
      <c r="C88" s="9" t="s">
        <v>48</v>
      </c>
      <c r="D88" s="9">
        <v>1</v>
      </c>
      <c r="E88" s="9">
        <v>89.5</v>
      </c>
      <c r="F88" s="9">
        <f t="shared" si="4"/>
        <v>89.5</v>
      </c>
      <c r="G88" s="9" t="s">
        <v>16</v>
      </c>
      <c r="H88" s="1"/>
    </row>
    <row r="89" spans="2:8" ht="15" x14ac:dyDescent="0.3">
      <c r="B89" s="6">
        <v>4</v>
      </c>
      <c r="C89" s="9" t="s">
        <v>29</v>
      </c>
      <c r="D89" s="9">
        <v>1</v>
      </c>
      <c r="E89" s="9">
        <v>55</v>
      </c>
      <c r="F89" s="9">
        <f t="shared" si="4"/>
        <v>55</v>
      </c>
      <c r="G89" s="9" t="s">
        <v>16</v>
      </c>
      <c r="H89" s="1"/>
    </row>
    <row r="90" spans="2:8" ht="15" x14ac:dyDescent="0.3">
      <c r="B90" s="6">
        <v>5</v>
      </c>
      <c r="C90" s="9" t="s">
        <v>49</v>
      </c>
      <c r="D90" s="9">
        <v>1</v>
      </c>
      <c r="E90" s="9">
        <v>136.4</v>
      </c>
      <c r="F90" s="9">
        <f t="shared" si="4"/>
        <v>136.4</v>
      </c>
      <c r="G90" s="9" t="s">
        <v>65</v>
      </c>
      <c r="H90" s="1"/>
    </row>
    <row r="91" spans="2:8" ht="15" x14ac:dyDescent="0.3">
      <c r="B91" s="6">
        <v>6</v>
      </c>
      <c r="C91" s="9" t="s">
        <v>21</v>
      </c>
      <c r="D91" s="9">
        <v>1</v>
      </c>
      <c r="E91" s="9">
        <v>2.2000000000000002</v>
      </c>
      <c r="F91" s="9">
        <f t="shared" si="4"/>
        <v>2.2000000000000002</v>
      </c>
      <c r="G91" s="9" t="s">
        <v>65</v>
      </c>
      <c r="H91" s="1"/>
    </row>
    <row r="92" spans="2:8" ht="15" x14ac:dyDescent="0.3">
      <c r="B92" s="6">
        <v>7</v>
      </c>
      <c r="C92" s="9" t="s">
        <v>33</v>
      </c>
      <c r="D92" s="9">
        <v>1</v>
      </c>
      <c r="E92" s="9">
        <v>4</v>
      </c>
      <c r="F92" s="9">
        <f t="shared" si="4"/>
        <v>4</v>
      </c>
      <c r="G92" s="9" t="s">
        <v>65</v>
      </c>
      <c r="H92" s="1"/>
    </row>
    <row r="93" spans="2:8" ht="15" x14ac:dyDescent="0.3">
      <c r="B93" s="6">
        <v>8</v>
      </c>
      <c r="C93" s="9" t="s">
        <v>50</v>
      </c>
      <c r="D93" s="9">
        <v>1</v>
      </c>
      <c r="E93" s="9">
        <v>47</v>
      </c>
      <c r="F93" s="9">
        <f t="shared" si="4"/>
        <v>47</v>
      </c>
      <c r="G93" s="9" t="s">
        <v>65</v>
      </c>
      <c r="H93" s="1"/>
    </row>
    <row r="94" spans="2:8" ht="15" x14ac:dyDescent="0.3">
      <c r="B94" s="6">
        <v>9</v>
      </c>
      <c r="C94" s="9" t="s">
        <v>51</v>
      </c>
      <c r="D94" s="9">
        <v>1</v>
      </c>
      <c r="E94" s="9">
        <v>45</v>
      </c>
      <c r="F94" s="9">
        <f t="shared" si="4"/>
        <v>45</v>
      </c>
      <c r="G94" s="9" t="s">
        <v>65</v>
      </c>
      <c r="H94" s="1"/>
    </row>
    <row r="95" spans="2:8" ht="15" x14ac:dyDescent="0.3">
      <c r="B95" s="6">
        <v>10</v>
      </c>
      <c r="C95" s="9" t="s">
        <v>15</v>
      </c>
      <c r="D95" s="9">
        <v>1</v>
      </c>
      <c r="E95" s="9">
        <v>0.9</v>
      </c>
      <c r="F95" s="9">
        <f>0.9</f>
        <v>0.9</v>
      </c>
      <c r="G95" s="9" t="s">
        <v>65</v>
      </c>
      <c r="H95" s="1"/>
    </row>
    <row r="96" spans="2:8" ht="15" x14ac:dyDescent="0.3">
      <c r="B96" s="24" t="s">
        <v>87</v>
      </c>
      <c r="C96" s="24"/>
      <c r="D96" s="7">
        <f>SUM(D86:D95)</f>
        <v>10</v>
      </c>
      <c r="E96" s="7"/>
      <c r="F96" s="7">
        <f>SUM(F86:F95)</f>
        <v>576.44999999999993</v>
      </c>
      <c r="G96" s="7">
        <v>4</v>
      </c>
      <c r="H96" s="1"/>
    </row>
    <row r="97" spans="2:8" ht="15.6" x14ac:dyDescent="0.3">
      <c r="B97" s="3"/>
      <c r="C97" s="2"/>
      <c r="D97" s="2"/>
      <c r="E97" s="2"/>
      <c r="F97" s="2"/>
      <c r="G97" s="2"/>
    </row>
    <row r="98" spans="2:8" ht="15" customHeight="1" x14ac:dyDescent="0.3">
      <c r="B98" s="26" t="s">
        <v>52</v>
      </c>
      <c r="C98" s="26"/>
      <c r="D98" s="26"/>
      <c r="E98" s="26"/>
      <c r="F98" s="26"/>
      <c r="G98" s="26"/>
      <c r="H98" s="1"/>
    </row>
    <row r="99" spans="2:8" ht="45" x14ac:dyDescent="0.3">
      <c r="B99" s="6" t="s">
        <v>1</v>
      </c>
      <c r="C99" s="7" t="s">
        <v>2</v>
      </c>
      <c r="D99" s="7" t="s">
        <v>90</v>
      </c>
      <c r="E99" s="7" t="s">
        <v>94</v>
      </c>
      <c r="F99" s="7" t="s">
        <v>95</v>
      </c>
      <c r="G99" s="8" t="s">
        <v>83</v>
      </c>
      <c r="H99" s="1"/>
    </row>
    <row r="100" spans="2:8" ht="15" x14ac:dyDescent="0.3">
      <c r="B100" s="6">
        <v>1</v>
      </c>
      <c r="C100" s="9" t="s">
        <v>15</v>
      </c>
      <c r="D100" s="9">
        <v>10</v>
      </c>
      <c r="E100" s="9">
        <f>150/1000</f>
        <v>0.15</v>
      </c>
      <c r="F100" s="9">
        <f>D100*E100</f>
        <v>1.5</v>
      </c>
      <c r="G100" s="13" t="s">
        <v>65</v>
      </c>
      <c r="H100" s="1"/>
    </row>
    <row r="101" spans="2:8" ht="15" x14ac:dyDescent="0.3">
      <c r="B101" s="6">
        <v>2</v>
      </c>
      <c r="C101" s="9" t="s">
        <v>15</v>
      </c>
      <c r="D101" s="9">
        <v>3</v>
      </c>
      <c r="E101" s="9">
        <f>150/1000</f>
        <v>0.15</v>
      </c>
      <c r="F101" s="9">
        <f>D101*E101</f>
        <v>0.44999999999999996</v>
      </c>
      <c r="G101" s="13" t="s">
        <v>65</v>
      </c>
      <c r="H101" s="1"/>
    </row>
    <row r="102" spans="2:8" ht="15" x14ac:dyDescent="0.3">
      <c r="B102" s="24" t="s">
        <v>87</v>
      </c>
      <c r="C102" s="24"/>
      <c r="D102" s="9">
        <f>SUM(D100:D101)</f>
        <v>13</v>
      </c>
      <c r="E102" s="9"/>
      <c r="F102" s="9">
        <f>SUM(F100:F101)</f>
        <v>1.95</v>
      </c>
      <c r="G102" s="13"/>
      <c r="H102" s="1"/>
    </row>
    <row r="103" spans="2:8" ht="15" x14ac:dyDescent="0.3">
      <c r="B103" s="14"/>
      <c r="C103" s="16"/>
      <c r="D103" s="16"/>
      <c r="E103" s="16"/>
      <c r="F103" s="16"/>
      <c r="G103" s="17"/>
      <c r="H103" s="1"/>
    </row>
    <row r="104" spans="2:8" ht="15" x14ac:dyDescent="0.3">
      <c r="B104" s="26" t="s">
        <v>53</v>
      </c>
      <c r="C104" s="26"/>
      <c r="D104" s="26"/>
      <c r="E104" s="26"/>
      <c r="F104" s="26"/>
      <c r="G104" s="26"/>
      <c r="H104" s="1"/>
    </row>
    <row r="105" spans="2:8" ht="45" x14ac:dyDescent="0.3">
      <c r="B105" s="6" t="s">
        <v>1</v>
      </c>
      <c r="C105" s="7" t="s">
        <v>2</v>
      </c>
      <c r="D105" s="7" t="s">
        <v>90</v>
      </c>
      <c r="E105" s="7" t="s">
        <v>94</v>
      </c>
      <c r="F105" s="7" t="s">
        <v>95</v>
      </c>
      <c r="G105" s="8" t="s">
        <v>83</v>
      </c>
      <c r="H105" s="1"/>
    </row>
    <row r="106" spans="2:8" ht="15" x14ac:dyDescent="0.3">
      <c r="B106" s="6">
        <v>1</v>
      </c>
      <c r="C106" s="9" t="s">
        <v>15</v>
      </c>
      <c r="D106" s="9">
        <v>4</v>
      </c>
      <c r="E106" s="9">
        <f>50/1000</f>
        <v>0.05</v>
      </c>
      <c r="F106" s="9">
        <f>D106*E106</f>
        <v>0.2</v>
      </c>
      <c r="G106" s="13" t="s">
        <v>65</v>
      </c>
      <c r="H106" s="1"/>
    </row>
    <row r="107" spans="2:8" ht="15" x14ac:dyDescent="0.3">
      <c r="B107" s="14"/>
      <c r="C107" s="16"/>
      <c r="D107" s="16"/>
      <c r="E107" s="16"/>
      <c r="F107" s="16"/>
      <c r="G107" s="17"/>
      <c r="H107" s="1"/>
    </row>
    <row r="108" spans="2:8" ht="15.6" x14ac:dyDescent="0.3">
      <c r="B108" s="4"/>
      <c r="C108" s="5"/>
      <c r="D108" s="5"/>
      <c r="E108" s="5"/>
      <c r="F108" s="5"/>
      <c r="G108" s="5"/>
      <c r="H108" s="1"/>
    </row>
    <row r="109" spans="2:8" ht="15.6" customHeight="1" x14ac:dyDescent="0.3">
      <c r="B109" s="26" t="s">
        <v>54</v>
      </c>
      <c r="C109" s="26"/>
      <c r="D109" s="26"/>
      <c r="E109" s="26"/>
      <c r="F109" s="26"/>
      <c r="G109" s="26"/>
      <c r="H109" s="1"/>
    </row>
    <row r="110" spans="2:8" ht="45" x14ac:dyDescent="0.3">
      <c r="B110" s="6" t="s">
        <v>1</v>
      </c>
      <c r="C110" s="7" t="s">
        <v>2</v>
      </c>
      <c r="D110" s="7" t="s">
        <v>90</v>
      </c>
      <c r="E110" s="7" t="s">
        <v>94</v>
      </c>
      <c r="F110" s="7" t="s">
        <v>95</v>
      </c>
      <c r="G110" s="8" t="s">
        <v>83</v>
      </c>
      <c r="H110" s="1"/>
    </row>
    <row r="111" spans="2:8" ht="15" x14ac:dyDescent="0.3">
      <c r="B111" s="6">
        <v>1</v>
      </c>
      <c r="C111" s="9" t="s">
        <v>55</v>
      </c>
      <c r="D111" s="9">
        <v>1</v>
      </c>
      <c r="E111" s="9">
        <f>200/1000</f>
        <v>0.2</v>
      </c>
      <c r="F111" s="9">
        <f>D111*E111</f>
        <v>0.2</v>
      </c>
      <c r="G111" s="13" t="s">
        <v>65</v>
      </c>
      <c r="H111" s="1"/>
    </row>
    <row r="112" spans="2:8" ht="15" x14ac:dyDescent="0.3">
      <c r="B112" s="6">
        <v>2</v>
      </c>
      <c r="C112" s="9" t="s">
        <v>77</v>
      </c>
      <c r="D112" s="9">
        <v>1</v>
      </c>
      <c r="E112" s="9">
        <v>0.7</v>
      </c>
      <c r="F112" s="9">
        <f t="shared" ref="F112:F116" si="5">D112*E112</f>
        <v>0.7</v>
      </c>
      <c r="G112" s="13" t="s">
        <v>65</v>
      </c>
      <c r="H112" s="1"/>
    </row>
    <row r="113" spans="2:8" ht="15" x14ac:dyDescent="0.3">
      <c r="B113" s="6">
        <v>3</v>
      </c>
      <c r="C113" s="9" t="s">
        <v>78</v>
      </c>
      <c r="D113" s="9">
        <v>1</v>
      </c>
      <c r="E113" s="9">
        <v>27</v>
      </c>
      <c r="F113" s="9">
        <f t="shared" si="5"/>
        <v>27</v>
      </c>
      <c r="G113" s="13" t="s">
        <v>65</v>
      </c>
      <c r="H113" s="1"/>
    </row>
    <row r="114" spans="2:8" ht="15" x14ac:dyDescent="0.3">
      <c r="B114" s="6">
        <v>4</v>
      </c>
      <c r="C114" s="9" t="s">
        <v>56</v>
      </c>
      <c r="D114" s="9">
        <v>1</v>
      </c>
      <c r="E114" s="9">
        <v>0.9</v>
      </c>
      <c r="F114" s="9">
        <f t="shared" si="5"/>
        <v>0.9</v>
      </c>
      <c r="G114" s="13" t="s">
        <v>65</v>
      </c>
      <c r="H114" s="1"/>
    </row>
    <row r="115" spans="2:8" ht="15" x14ac:dyDescent="0.3">
      <c r="B115" s="6">
        <v>5</v>
      </c>
      <c r="C115" s="9" t="s">
        <v>75</v>
      </c>
      <c r="D115" s="9">
        <v>1</v>
      </c>
      <c r="E115" s="9">
        <v>5</v>
      </c>
      <c r="F115" s="9">
        <f t="shared" si="5"/>
        <v>5</v>
      </c>
      <c r="G115" s="13" t="s">
        <v>65</v>
      </c>
      <c r="H115" s="1"/>
    </row>
    <row r="116" spans="2:8" ht="15" x14ac:dyDescent="0.3">
      <c r="B116" s="6">
        <v>6</v>
      </c>
      <c r="C116" s="9" t="s">
        <v>76</v>
      </c>
      <c r="D116" s="9">
        <v>1</v>
      </c>
      <c r="E116" s="9">
        <v>1</v>
      </c>
      <c r="F116" s="9">
        <f t="shared" si="5"/>
        <v>1</v>
      </c>
      <c r="G116" s="13" t="s">
        <v>65</v>
      </c>
      <c r="H116" s="1"/>
    </row>
    <row r="117" spans="2:8" ht="15" x14ac:dyDescent="0.3">
      <c r="B117" s="24" t="s">
        <v>87</v>
      </c>
      <c r="C117" s="24"/>
      <c r="D117" s="7">
        <f>SUM(D111:D116)</f>
        <v>6</v>
      </c>
      <c r="E117" s="7"/>
      <c r="F117" s="7">
        <f>SUM(F111:F116)</f>
        <v>34.799999999999997</v>
      </c>
      <c r="G117" s="22">
        <v>0</v>
      </c>
      <c r="H117" s="1"/>
    </row>
    <row r="118" spans="2:8" ht="15.6" x14ac:dyDescent="0.3">
      <c r="B118" s="4"/>
      <c r="C118" s="5"/>
      <c r="D118" s="5"/>
      <c r="E118" s="5"/>
      <c r="F118" s="5"/>
      <c r="G118" s="5"/>
      <c r="H118" s="1"/>
    </row>
    <row r="119" spans="2:8" ht="15.6" customHeight="1" x14ac:dyDescent="0.3">
      <c r="B119" s="26" t="s">
        <v>57</v>
      </c>
      <c r="C119" s="26"/>
      <c r="D119" s="26"/>
      <c r="E119" s="26"/>
      <c r="F119" s="26"/>
      <c r="G119" s="26"/>
      <c r="H119" s="1"/>
    </row>
    <row r="120" spans="2:8" ht="45" x14ac:dyDescent="0.3">
      <c r="B120" s="6" t="s">
        <v>1</v>
      </c>
      <c r="C120" s="7" t="s">
        <v>2</v>
      </c>
      <c r="D120" s="7" t="s">
        <v>90</v>
      </c>
      <c r="E120" s="7" t="s">
        <v>94</v>
      </c>
      <c r="F120" s="7" t="s">
        <v>95</v>
      </c>
      <c r="G120" s="8" t="s">
        <v>83</v>
      </c>
      <c r="H120" s="1"/>
    </row>
    <row r="121" spans="2:8" ht="15" x14ac:dyDescent="0.3">
      <c r="B121" s="6">
        <v>1</v>
      </c>
      <c r="C121" s="9" t="s">
        <v>15</v>
      </c>
      <c r="D121" s="9">
        <v>10</v>
      </c>
      <c r="E121" s="9">
        <v>0.15</v>
      </c>
      <c r="F121" s="7">
        <v>15</v>
      </c>
      <c r="G121" s="13" t="s">
        <v>65</v>
      </c>
      <c r="H121" s="1"/>
    </row>
    <row r="122" spans="2:8" ht="15" x14ac:dyDescent="0.3">
      <c r="B122" s="14"/>
      <c r="C122" s="16"/>
      <c r="D122" s="16"/>
      <c r="E122" s="16"/>
      <c r="F122" s="16"/>
      <c r="G122" s="17"/>
      <c r="H122" s="1"/>
    </row>
    <row r="123" spans="2:8" ht="15.6" x14ac:dyDescent="0.3">
      <c r="B123" s="4"/>
      <c r="C123" s="5"/>
      <c r="D123" s="5"/>
      <c r="E123" s="5"/>
      <c r="F123" s="5"/>
      <c r="G123" s="5"/>
      <c r="H123" s="1"/>
    </row>
    <row r="124" spans="2:8" ht="15.6" customHeight="1" x14ac:dyDescent="0.3">
      <c r="B124" s="26" t="s">
        <v>58</v>
      </c>
      <c r="C124" s="26"/>
      <c r="D124" s="26"/>
      <c r="E124" s="26"/>
      <c r="F124" s="26"/>
      <c r="G124" s="26"/>
      <c r="H124" s="1"/>
    </row>
    <row r="125" spans="2:8" ht="45" x14ac:dyDescent="0.3">
      <c r="B125" s="6" t="s">
        <v>1</v>
      </c>
      <c r="C125" s="7" t="s">
        <v>2</v>
      </c>
      <c r="D125" s="7" t="s">
        <v>90</v>
      </c>
      <c r="E125" s="7" t="s">
        <v>94</v>
      </c>
      <c r="F125" s="7" t="s">
        <v>95</v>
      </c>
      <c r="G125" s="8" t="s">
        <v>83</v>
      </c>
      <c r="H125" s="1"/>
    </row>
    <row r="126" spans="2:8" ht="15" x14ac:dyDescent="0.3">
      <c r="B126" s="6">
        <v>1</v>
      </c>
      <c r="C126" s="9" t="s">
        <v>59</v>
      </c>
      <c r="D126" s="9">
        <v>10</v>
      </c>
      <c r="E126" s="9">
        <v>2.8</v>
      </c>
      <c r="F126" s="9">
        <f>E126*D126</f>
        <v>28</v>
      </c>
      <c r="G126" s="13" t="s">
        <v>65</v>
      </c>
      <c r="H126" s="1"/>
    </row>
    <row r="127" spans="2:8" ht="15" x14ac:dyDescent="0.3">
      <c r="B127" s="6">
        <v>2</v>
      </c>
      <c r="C127" s="9" t="s">
        <v>21</v>
      </c>
      <c r="D127" s="9">
        <v>1</v>
      </c>
      <c r="E127" s="9">
        <v>0.75</v>
      </c>
      <c r="F127" s="9">
        <f t="shared" ref="F127:F130" si="6">E127*D127</f>
        <v>0.75</v>
      </c>
      <c r="G127" s="13" t="s">
        <v>65</v>
      </c>
      <c r="H127" s="1"/>
    </row>
    <row r="128" spans="2:8" ht="15" x14ac:dyDescent="0.3">
      <c r="B128" s="6">
        <v>3</v>
      </c>
      <c r="C128" s="9" t="s">
        <v>60</v>
      </c>
      <c r="D128" s="9">
        <v>1</v>
      </c>
      <c r="E128" s="9">
        <v>1.5</v>
      </c>
      <c r="F128" s="9">
        <f t="shared" si="6"/>
        <v>1.5</v>
      </c>
      <c r="G128" s="13" t="s">
        <v>65</v>
      </c>
      <c r="H128" s="1"/>
    </row>
    <row r="129" spans="2:8" ht="15" x14ac:dyDescent="0.3">
      <c r="B129" s="6">
        <v>4</v>
      </c>
      <c r="C129" s="9" t="s">
        <v>61</v>
      </c>
      <c r="D129" s="9">
        <v>1</v>
      </c>
      <c r="E129" s="9">
        <v>6.5</v>
      </c>
      <c r="F129" s="9">
        <f t="shared" si="6"/>
        <v>6.5</v>
      </c>
      <c r="G129" s="13" t="s">
        <v>65</v>
      </c>
      <c r="H129" s="1"/>
    </row>
    <row r="130" spans="2:8" ht="15" x14ac:dyDescent="0.3">
      <c r="B130" s="6">
        <v>5</v>
      </c>
      <c r="C130" s="9" t="s">
        <v>15</v>
      </c>
      <c r="D130" s="9">
        <v>1</v>
      </c>
      <c r="E130" s="9">
        <v>1.1000000000000001</v>
      </c>
      <c r="F130" s="9">
        <f t="shared" si="6"/>
        <v>1.1000000000000001</v>
      </c>
      <c r="G130" s="13" t="s">
        <v>65</v>
      </c>
      <c r="H130" s="1"/>
    </row>
    <row r="131" spans="2:8" ht="15" x14ac:dyDescent="0.3">
      <c r="B131" s="24" t="s">
        <v>87</v>
      </c>
      <c r="C131" s="24"/>
      <c r="D131" s="7">
        <f>SUM(D126:D130)</f>
        <v>14</v>
      </c>
      <c r="E131" s="7"/>
      <c r="F131" s="7">
        <f>SUM(F126:F130)</f>
        <v>37.85</v>
      </c>
      <c r="G131" s="22">
        <v>0</v>
      </c>
      <c r="H131" s="1"/>
    </row>
    <row r="132" spans="2:8" ht="15.6" x14ac:dyDescent="0.3">
      <c r="B132" s="4"/>
      <c r="C132" s="5"/>
      <c r="D132" s="5"/>
      <c r="E132" s="5"/>
      <c r="F132" s="5"/>
      <c r="G132" s="5"/>
      <c r="H132" s="1"/>
    </row>
    <row r="133" spans="2:8" ht="15" customHeight="1" x14ac:dyDescent="0.3">
      <c r="B133" s="26" t="s">
        <v>80</v>
      </c>
      <c r="C133" s="26"/>
      <c r="D133" s="26"/>
      <c r="E133" s="26"/>
      <c r="F133" s="26"/>
      <c r="G133" s="26"/>
      <c r="H133" s="1"/>
    </row>
    <row r="134" spans="2:8" ht="45" x14ac:dyDescent="0.3">
      <c r="B134" s="6" t="s">
        <v>1</v>
      </c>
      <c r="C134" s="7" t="s">
        <v>2</v>
      </c>
      <c r="D134" s="7" t="s">
        <v>90</v>
      </c>
      <c r="E134" s="7" t="s">
        <v>94</v>
      </c>
      <c r="F134" s="7" t="s">
        <v>95</v>
      </c>
      <c r="G134" s="8" t="s">
        <v>83</v>
      </c>
      <c r="H134" s="1"/>
    </row>
    <row r="135" spans="2:8" ht="15" x14ac:dyDescent="0.3">
      <c r="B135" s="6">
        <v>1</v>
      </c>
      <c r="C135" s="9" t="s">
        <v>23</v>
      </c>
      <c r="D135" s="9">
        <v>2</v>
      </c>
      <c r="E135" s="9">
        <v>3.3</v>
      </c>
      <c r="F135" s="9">
        <f>D135*E135</f>
        <v>6.6</v>
      </c>
      <c r="G135" s="13" t="s">
        <v>65</v>
      </c>
      <c r="H135" s="1"/>
    </row>
    <row r="136" spans="2:8" ht="15" x14ac:dyDescent="0.3">
      <c r="B136" s="6">
        <v>2</v>
      </c>
      <c r="C136" s="9" t="s">
        <v>62</v>
      </c>
      <c r="D136" s="9">
        <v>1</v>
      </c>
      <c r="E136" s="9">
        <v>3.5</v>
      </c>
      <c r="F136" s="9">
        <f t="shared" ref="F136:F138" si="7">D136*E136</f>
        <v>3.5</v>
      </c>
      <c r="G136" s="13" t="s">
        <v>65</v>
      </c>
      <c r="H136" s="1"/>
    </row>
    <row r="137" spans="2:8" ht="15" x14ac:dyDescent="0.3">
      <c r="B137" s="6">
        <v>3</v>
      </c>
      <c r="C137" s="9" t="s">
        <v>21</v>
      </c>
      <c r="D137" s="9">
        <v>2</v>
      </c>
      <c r="E137" s="9">
        <v>1.85</v>
      </c>
      <c r="F137" s="9">
        <f t="shared" si="7"/>
        <v>3.7</v>
      </c>
      <c r="G137" s="13" t="s">
        <v>65</v>
      </c>
      <c r="H137" s="1"/>
    </row>
    <row r="138" spans="2:8" ht="15" x14ac:dyDescent="0.3">
      <c r="B138" s="6">
        <v>4</v>
      </c>
      <c r="C138" s="9" t="s">
        <v>15</v>
      </c>
      <c r="D138" s="9">
        <v>1</v>
      </c>
      <c r="E138" s="9">
        <v>0.5</v>
      </c>
      <c r="F138" s="9">
        <f t="shared" si="7"/>
        <v>0.5</v>
      </c>
      <c r="G138" s="13" t="s">
        <v>65</v>
      </c>
      <c r="H138" s="1"/>
    </row>
    <row r="139" spans="2:8" ht="15.6" x14ac:dyDescent="0.3">
      <c r="B139" s="25" t="s">
        <v>87</v>
      </c>
      <c r="C139" s="25"/>
      <c r="D139" s="20">
        <f>SUM(D135:D138)</f>
        <v>6</v>
      </c>
      <c r="E139" s="21"/>
      <c r="F139" s="20">
        <f>SUM(F135:F138)</f>
        <v>14.3</v>
      </c>
      <c r="G139" s="20">
        <v>0</v>
      </c>
    </row>
  </sheetData>
  <mergeCells count="20">
    <mergeCell ref="B2:G2"/>
    <mergeCell ref="B52:C52"/>
    <mergeCell ref="B73:C73"/>
    <mergeCell ref="B75:G75"/>
    <mergeCell ref="B54:G54"/>
    <mergeCell ref="B104:G104"/>
    <mergeCell ref="B28:G28"/>
    <mergeCell ref="B26:C26"/>
    <mergeCell ref="B96:C96"/>
    <mergeCell ref="B102:C102"/>
    <mergeCell ref="B117:C117"/>
    <mergeCell ref="B82:C82"/>
    <mergeCell ref="B84:G84"/>
    <mergeCell ref="B131:C131"/>
    <mergeCell ref="B139:C139"/>
    <mergeCell ref="B98:G98"/>
    <mergeCell ref="B133:G133"/>
    <mergeCell ref="B109:G109"/>
    <mergeCell ref="B119:G119"/>
    <mergeCell ref="B124:G1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A342-B55E-407F-A857-079088CBF279}">
  <dimension ref="B2:I93"/>
  <sheetViews>
    <sheetView zoomScale="40" zoomScaleNormal="40" workbookViewId="0">
      <selection activeCell="K24" sqref="K24"/>
    </sheetView>
  </sheetViews>
  <sheetFormatPr defaultRowHeight="14.4" x14ac:dyDescent="0.3"/>
  <cols>
    <col min="2" max="2" width="4.5546875" customWidth="1"/>
    <col min="3" max="3" width="46" customWidth="1"/>
    <col min="4" max="4" width="9.6640625" customWidth="1"/>
    <col min="5" max="5" width="14.88671875" customWidth="1"/>
    <col min="6" max="6" width="13" customWidth="1"/>
    <col min="7" max="7" width="8.33203125" customWidth="1"/>
  </cols>
  <sheetData>
    <row r="2" spans="2:8" ht="30" x14ac:dyDescent="0.3">
      <c r="B2" s="6" t="s">
        <v>1</v>
      </c>
      <c r="C2" s="7" t="s">
        <v>2</v>
      </c>
      <c r="D2" s="7" t="s">
        <v>90</v>
      </c>
      <c r="E2" s="7" t="s">
        <v>94</v>
      </c>
      <c r="F2" s="7" t="s">
        <v>95</v>
      </c>
      <c r="G2" s="8" t="s">
        <v>83</v>
      </c>
    </row>
    <row r="3" spans="2:8" ht="15" x14ac:dyDescent="0.3">
      <c r="B3" s="6">
        <v>1</v>
      </c>
      <c r="C3" s="9" t="s">
        <v>91</v>
      </c>
      <c r="D3" s="9">
        <v>1</v>
      </c>
      <c r="E3" s="9"/>
      <c r="F3" s="9"/>
      <c r="G3" s="9" t="s">
        <v>65</v>
      </c>
    </row>
    <row r="4" spans="2:8" ht="15" x14ac:dyDescent="0.3">
      <c r="B4" s="6">
        <v>2</v>
      </c>
      <c r="C4" s="9" t="s">
        <v>99</v>
      </c>
      <c r="D4" s="9">
        <v>1</v>
      </c>
      <c r="E4" s="9"/>
      <c r="F4" s="9"/>
      <c r="G4" s="9" t="s">
        <v>65</v>
      </c>
    </row>
    <row r="5" spans="2:8" ht="15" x14ac:dyDescent="0.3">
      <c r="B5" s="6">
        <v>3</v>
      </c>
      <c r="C5" s="9" t="s">
        <v>100</v>
      </c>
      <c r="D5" s="9">
        <v>1</v>
      </c>
      <c r="E5" s="9"/>
      <c r="F5" s="9"/>
      <c r="G5" s="9" t="s">
        <v>65</v>
      </c>
    </row>
    <row r="6" spans="2:8" ht="15" x14ac:dyDescent="0.3">
      <c r="B6" s="6">
        <v>4</v>
      </c>
      <c r="C6" s="9" t="s">
        <v>96</v>
      </c>
      <c r="D6" s="9">
        <v>4</v>
      </c>
      <c r="E6" s="9"/>
      <c r="F6" s="9"/>
      <c r="G6" s="10" t="s">
        <v>66</v>
      </c>
    </row>
    <row r="7" spans="2:8" ht="15" x14ac:dyDescent="0.3">
      <c r="B7" s="6">
        <v>5</v>
      </c>
      <c r="C7" s="9" t="s">
        <v>98</v>
      </c>
      <c r="D7" s="9">
        <v>2</v>
      </c>
      <c r="E7" s="9"/>
      <c r="F7" s="9"/>
      <c r="G7" s="10" t="s">
        <v>65</v>
      </c>
    </row>
    <row r="8" spans="2:8" ht="15" x14ac:dyDescent="0.3">
      <c r="B8" s="6">
        <v>6</v>
      </c>
      <c r="C8" s="9" t="s">
        <v>97</v>
      </c>
      <c r="D8" s="9">
        <v>2</v>
      </c>
      <c r="E8" s="9"/>
      <c r="F8" s="9"/>
      <c r="G8" s="9" t="s">
        <v>65</v>
      </c>
    </row>
    <row r="9" spans="2:8" ht="15" x14ac:dyDescent="0.3">
      <c r="B9" s="6">
        <v>7</v>
      </c>
      <c r="C9" s="9" t="s">
        <v>92</v>
      </c>
      <c r="D9" s="9">
        <v>1</v>
      </c>
      <c r="E9" s="9"/>
      <c r="F9" s="9"/>
      <c r="G9" s="9" t="s">
        <v>65</v>
      </c>
    </row>
    <row r="10" spans="2:8" ht="15" x14ac:dyDescent="0.3">
      <c r="B10" s="6">
        <v>8</v>
      </c>
      <c r="C10" s="9" t="s">
        <v>102</v>
      </c>
      <c r="D10" s="9">
        <v>2</v>
      </c>
      <c r="E10" s="9"/>
      <c r="F10" s="9"/>
      <c r="G10" s="9" t="s">
        <v>65</v>
      </c>
    </row>
    <row r="11" spans="2:8" ht="15" x14ac:dyDescent="0.3">
      <c r="B11" s="6">
        <v>9</v>
      </c>
      <c r="C11" s="9" t="s">
        <v>4</v>
      </c>
      <c r="D11" s="9">
        <v>2</v>
      </c>
      <c r="E11" s="9">
        <v>7.5</v>
      </c>
      <c r="F11" s="9">
        <f t="shared" ref="F11:F19" si="0">D11*E11</f>
        <v>15</v>
      </c>
      <c r="G11" s="9" t="s">
        <v>16</v>
      </c>
      <c r="H11" t="s">
        <v>44</v>
      </c>
    </row>
    <row r="12" spans="2:8" ht="15" x14ac:dyDescent="0.3">
      <c r="B12" s="6">
        <v>10</v>
      </c>
      <c r="C12" s="9" t="s">
        <v>4</v>
      </c>
      <c r="D12" s="9">
        <v>1</v>
      </c>
      <c r="E12" s="9">
        <v>2.2000000000000002</v>
      </c>
      <c r="F12" s="9">
        <f t="shared" si="0"/>
        <v>2.2000000000000002</v>
      </c>
      <c r="G12" s="9" t="s">
        <v>65</v>
      </c>
    </row>
    <row r="13" spans="2:8" ht="15" x14ac:dyDescent="0.3">
      <c r="B13" s="6">
        <v>11</v>
      </c>
      <c r="C13" s="9" t="s">
        <v>5</v>
      </c>
      <c r="D13" s="9">
        <v>1</v>
      </c>
      <c r="E13" s="9">
        <v>92</v>
      </c>
      <c r="F13" s="9">
        <f t="shared" si="0"/>
        <v>92</v>
      </c>
      <c r="G13" s="9" t="s">
        <v>16</v>
      </c>
    </row>
    <row r="14" spans="2:8" ht="15" x14ac:dyDescent="0.3">
      <c r="B14" s="6">
        <v>12</v>
      </c>
      <c r="C14" s="9" t="s">
        <v>63</v>
      </c>
      <c r="D14" s="9">
        <v>2</v>
      </c>
      <c r="E14" s="9">
        <v>22</v>
      </c>
      <c r="F14" s="9">
        <f t="shared" si="0"/>
        <v>44</v>
      </c>
      <c r="G14" s="9" t="s">
        <v>16</v>
      </c>
    </row>
    <row r="15" spans="2:8" ht="15" x14ac:dyDescent="0.3">
      <c r="B15" s="6">
        <v>13</v>
      </c>
      <c r="C15" s="9" t="s">
        <v>63</v>
      </c>
      <c r="D15" s="9">
        <v>1</v>
      </c>
      <c r="E15" s="9">
        <v>7.5</v>
      </c>
      <c r="F15" s="9">
        <f t="shared" si="0"/>
        <v>7.5</v>
      </c>
      <c r="G15" s="9" t="s">
        <v>65</v>
      </c>
    </row>
    <row r="16" spans="2:8" ht="15" x14ac:dyDescent="0.3">
      <c r="B16" s="6">
        <v>14</v>
      </c>
      <c r="C16" s="9" t="s">
        <v>7</v>
      </c>
      <c r="D16" s="9">
        <v>1</v>
      </c>
      <c r="E16" s="9">
        <v>3</v>
      </c>
      <c r="F16" s="9">
        <f t="shared" si="0"/>
        <v>3</v>
      </c>
      <c r="G16" s="9" t="s">
        <v>65</v>
      </c>
    </row>
    <row r="17" spans="2:9" ht="15" x14ac:dyDescent="0.3">
      <c r="B17" s="6">
        <v>15</v>
      </c>
      <c r="C17" s="9" t="s">
        <v>81</v>
      </c>
      <c r="D17" s="9">
        <v>1</v>
      </c>
      <c r="E17" s="9">
        <v>2.2000000000000002</v>
      </c>
      <c r="F17" s="9">
        <f t="shared" si="0"/>
        <v>2.2000000000000002</v>
      </c>
      <c r="G17" s="9" t="s">
        <v>65</v>
      </c>
    </row>
    <row r="18" spans="2:9" ht="15" x14ac:dyDescent="0.3">
      <c r="B18" s="6">
        <v>16</v>
      </c>
      <c r="C18" s="9" t="s">
        <v>81</v>
      </c>
      <c r="D18" s="9">
        <v>1</v>
      </c>
      <c r="E18" s="9">
        <v>1.5</v>
      </c>
      <c r="F18" s="9">
        <f t="shared" si="0"/>
        <v>1.5</v>
      </c>
      <c r="G18" s="9" t="s">
        <v>65</v>
      </c>
    </row>
    <row r="19" spans="2:9" ht="15" x14ac:dyDescent="0.3">
      <c r="B19" s="6">
        <v>17</v>
      </c>
      <c r="C19" s="9" t="s">
        <v>81</v>
      </c>
      <c r="D19" s="9">
        <v>1</v>
      </c>
      <c r="E19" s="9">
        <v>0.75</v>
      </c>
      <c r="F19" s="9">
        <f t="shared" si="0"/>
        <v>0.75</v>
      </c>
      <c r="G19" s="9" t="s">
        <v>65</v>
      </c>
    </row>
    <row r="20" spans="2:9" ht="30" x14ac:dyDescent="0.3">
      <c r="B20" s="6">
        <v>18</v>
      </c>
      <c r="C20" s="9" t="s">
        <v>8</v>
      </c>
      <c r="D20" s="9">
        <v>1</v>
      </c>
      <c r="E20" s="9" t="s">
        <v>67</v>
      </c>
      <c r="F20" s="9">
        <f>263.8+72</f>
        <v>335.8</v>
      </c>
      <c r="G20" s="6" t="s">
        <v>17</v>
      </c>
    </row>
    <row r="21" spans="2:9" ht="30" x14ac:dyDescent="0.3">
      <c r="B21" s="6">
        <v>19</v>
      </c>
      <c r="C21" s="9" t="s">
        <v>9</v>
      </c>
      <c r="D21" s="9">
        <v>1</v>
      </c>
      <c r="E21" s="9" t="s">
        <v>86</v>
      </c>
      <c r="F21" s="9">
        <f>260.8+66</f>
        <v>326.8</v>
      </c>
      <c r="G21" s="6" t="s">
        <v>18</v>
      </c>
    </row>
    <row r="22" spans="2:9" ht="30" x14ac:dyDescent="0.3">
      <c r="B22" s="6">
        <v>20</v>
      </c>
      <c r="C22" s="9" t="s">
        <v>10</v>
      </c>
      <c r="D22" s="9">
        <v>1</v>
      </c>
      <c r="E22" s="9" t="s">
        <v>85</v>
      </c>
      <c r="F22" s="9">
        <f>259.2+66</f>
        <v>325.2</v>
      </c>
      <c r="G22" s="6" t="s">
        <v>17</v>
      </c>
    </row>
    <row r="23" spans="2:9" ht="30" x14ac:dyDescent="0.3">
      <c r="B23" s="6">
        <v>21</v>
      </c>
      <c r="C23" s="9" t="s">
        <v>11</v>
      </c>
      <c r="D23" s="9">
        <v>1</v>
      </c>
      <c r="E23" s="9" t="s">
        <v>84</v>
      </c>
      <c r="F23" s="9">
        <f>243.6+60</f>
        <v>303.60000000000002</v>
      </c>
      <c r="G23" s="6" t="s">
        <v>17</v>
      </c>
    </row>
    <row r="24" spans="2:9" ht="32.4" customHeight="1" x14ac:dyDescent="0.3">
      <c r="B24" s="6">
        <v>22</v>
      </c>
      <c r="C24" s="9" t="s">
        <v>12</v>
      </c>
      <c r="D24" s="9">
        <v>1</v>
      </c>
      <c r="E24" s="9" t="s">
        <v>108</v>
      </c>
      <c r="F24" s="9">
        <f>123.2+57</f>
        <v>180.2</v>
      </c>
      <c r="G24" s="6" t="s">
        <v>17</v>
      </c>
    </row>
    <row r="25" spans="2:9" ht="30" x14ac:dyDescent="0.3">
      <c r="B25" s="6">
        <v>23</v>
      </c>
      <c r="C25" s="9" t="s">
        <v>19</v>
      </c>
      <c r="D25" s="9">
        <v>1</v>
      </c>
      <c r="E25" s="9" t="s">
        <v>109</v>
      </c>
      <c r="F25" s="9">
        <f>96.9+30</f>
        <v>126.9</v>
      </c>
      <c r="G25" s="6" t="s">
        <v>17</v>
      </c>
    </row>
    <row r="26" spans="2:9" ht="30" x14ac:dyDescent="0.3">
      <c r="B26" s="6">
        <v>24</v>
      </c>
      <c r="C26" s="9" t="s">
        <v>13</v>
      </c>
      <c r="D26" s="9">
        <v>1</v>
      </c>
      <c r="E26" s="9" t="s">
        <v>110</v>
      </c>
      <c r="F26" s="9">
        <f>97.6+40</f>
        <v>137.6</v>
      </c>
      <c r="G26" s="6" t="s">
        <v>17</v>
      </c>
    </row>
    <row r="27" spans="2:9" ht="22.2" customHeight="1" x14ac:dyDescent="0.3">
      <c r="B27" s="6">
        <v>25</v>
      </c>
      <c r="C27" s="9" t="s">
        <v>14</v>
      </c>
      <c r="D27" s="9">
        <v>1</v>
      </c>
      <c r="E27" s="9">
        <v>630</v>
      </c>
      <c r="F27" s="9">
        <f>D27*E27</f>
        <v>630</v>
      </c>
      <c r="G27" s="9" t="s">
        <v>65</v>
      </c>
    </row>
    <row r="28" spans="2:9" ht="15" x14ac:dyDescent="0.3">
      <c r="B28" s="6">
        <v>26</v>
      </c>
      <c r="C28" s="9" t="s">
        <v>15</v>
      </c>
      <c r="D28" s="9">
        <v>1</v>
      </c>
      <c r="E28" s="9">
        <v>1.8</v>
      </c>
      <c r="F28" s="9">
        <f>D28*E28</f>
        <v>1.8</v>
      </c>
      <c r="G28" s="9" t="s">
        <v>65</v>
      </c>
    </row>
    <row r="29" spans="2:9" ht="15" x14ac:dyDescent="0.3">
      <c r="B29" s="6">
        <v>27</v>
      </c>
      <c r="C29" s="9" t="s">
        <v>3</v>
      </c>
      <c r="D29" s="9">
        <v>1</v>
      </c>
      <c r="E29" s="9">
        <v>500</v>
      </c>
      <c r="F29" s="9">
        <f t="shared" ref="F29:F35" si="1">D29*E29</f>
        <v>500</v>
      </c>
      <c r="G29" s="9" t="s">
        <v>65</v>
      </c>
      <c r="H29" s="1"/>
      <c r="I29" s="1"/>
    </row>
    <row r="30" spans="2:9" ht="15" x14ac:dyDescent="0.3">
      <c r="B30" s="6">
        <v>28</v>
      </c>
      <c r="C30" s="9" t="s">
        <v>21</v>
      </c>
      <c r="D30" s="9">
        <v>1</v>
      </c>
      <c r="E30" s="9">
        <v>15.8</v>
      </c>
      <c r="F30" s="9">
        <f t="shared" si="1"/>
        <v>15.8</v>
      </c>
      <c r="G30" s="9" t="s">
        <v>65</v>
      </c>
      <c r="H30" s="1"/>
      <c r="I30" s="1"/>
    </row>
    <row r="31" spans="2:9" ht="15" x14ac:dyDescent="0.3">
      <c r="B31" s="6">
        <v>29</v>
      </c>
      <c r="C31" s="9" t="s">
        <v>5</v>
      </c>
      <c r="D31" s="9">
        <v>1</v>
      </c>
      <c r="E31" s="9">
        <v>26</v>
      </c>
      <c r="F31" s="9">
        <f t="shared" si="1"/>
        <v>26</v>
      </c>
      <c r="G31" s="9" t="s">
        <v>65</v>
      </c>
      <c r="H31" s="1"/>
      <c r="I31" s="1"/>
    </row>
    <row r="32" spans="2:9" ht="15" x14ac:dyDescent="0.3">
      <c r="B32" s="6">
        <v>30</v>
      </c>
      <c r="C32" s="9" t="s">
        <v>22</v>
      </c>
      <c r="D32" s="9">
        <v>1</v>
      </c>
      <c r="E32" s="9">
        <v>6</v>
      </c>
      <c r="F32" s="9">
        <f t="shared" si="1"/>
        <v>6</v>
      </c>
      <c r="G32" s="9" t="s">
        <v>65</v>
      </c>
      <c r="H32" s="1"/>
      <c r="I32" s="1"/>
    </row>
    <row r="33" spans="2:9" ht="15" x14ac:dyDescent="0.3">
      <c r="B33" s="6">
        <v>31</v>
      </c>
      <c r="C33" s="9" t="s">
        <v>23</v>
      </c>
      <c r="D33" s="9">
        <v>1</v>
      </c>
      <c r="E33" s="9">
        <v>4</v>
      </c>
      <c r="F33" s="9">
        <f t="shared" si="1"/>
        <v>4</v>
      </c>
      <c r="G33" s="9" t="s">
        <v>65</v>
      </c>
      <c r="H33" s="1"/>
      <c r="I33" s="1"/>
    </row>
    <row r="34" spans="2:9" ht="15" x14ac:dyDescent="0.3">
      <c r="B34" s="6">
        <v>32</v>
      </c>
      <c r="C34" s="9" t="s">
        <v>6</v>
      </c>
      <c r="D34" s="9">
        <v>1</v>
      </c>
      <c r="E34" s="9">
        <v>22</v>
      </c>
      <c r="F34" s="9">
        <f t="shared" si="1"/>
        <v>22</v>
      </c>
      <c r="G34" s="9" t="s">
        <v>65</v>
      </c>
      <c r="H34" s="1"/>
      <c r="I34" s="1"/>
    </row>
    <row r="35" spans="2:9" ht="15" x14ac:dyDescent="0.3">
      <c r="B35" s="6">
        <v>33</v>
      </c>
      <c r="C35" s="9" t="s">
        <v>68</v>
      </c>
      <c r="D35" s="9">
        <v>1</v>
      </c>
      <c r="E35" s="9">
        <v>18.5</v>
      </c>
      <c r="F35" s="9">
        <f t="shared" si="1"/>
        <v>18.5</v>
      </c>
      <c r="G35" s="9" t="s">
        <v>65</v>
      </c>
      <c r="H35" s="1"/>
      <c r="I35" s="1"/>
    </row>
    <row r="36" spans="2:9" ht="27" customHeight="1" x14ac:dyDescent="0.3">
      <c r="B36" s="6">
        <v>34</v>
      </c>
      <c r="C36" s="9" t="s">
        <v>24</v>
      </c>
      <c r="D36" s="9">
        <v>1</v>
      </c>
      <c r="E36" s="9" t="s">
        <v>111</v>
      </c>
      <c r="F36" s="9">
        <f>81.6+43</f>
        <v>124.6</v>
      </c>
      <c r="G36" s="6" t="s">
        <v>16</v>
      </c>
      <c r="H36" s="1"/>
      <c r="I36" s="1"/>
    </row>
    <row r="37" spans="2:9" ht="30" x14ac:dyDescent="0.3">
      <c r="B37" s="6">
        <v>35</v>
      </c>
      <c r="C37" s="9" t="s">
        <v>25</v>
      </c>
      <c r="D37" s="9">
        <v>1</v>
      </c>
      <c r="E37" s="9" t="s">
        <v>112</v>
      </c>
      <c r="F37" s="9">
        <f>59.5+30</f>
        <v>89.5</v>
      </c>
      <c r="G37" s="6" t="s">
        <v>16</v>
      </c>
      <c r="H37" s="1"/>
      <c r="I37" s="1"/>
    </row>
    <row r="38" spans="2:9" ht="15" x14ac:dyDescent="0.3">
      <c r="B38" s="6">
        <v>36</v>
      </c>
      <c r="C38" s="9" t="s">
        <v>26</v>
      </c>
      <c r="D38" s="9">
        <v>1</v>
      </c>
      <c r="E38" s="9" t="s">
        <v>113</v>
      </c>
      <c r="F38" s="9">
        <f>8.1+43</f>
        <v>51.1</v>
      </c>
      <c r="G38" s="6" t="s">
        <v>16</v>
      </c>
      <c r="H38" s="1"/>
      <c r="I38" s="1"/>
    </row>
    <row r="39" spans="2:9" ht="15" x14ac:dyDescent="0.3">
      <c r="B39" s="6">
        <v>37</v>
      </c>
      <c r="C39" s="9" t="s">
        <v>27</v>
      </c>
      <c r="D39" s="9">
        <v>1</v>
      </c>
      <c r="E39" s="9">
        <v>157.30000000000001</v>
      </c>
      <c r="F39" s="9">
        <f>E39</f>
        <v>157.30000000000001</v>
      </c>
      <c r="G39" s="9" t="s">
        <v>16</v>
      </c>
      <c r="H39" s="1"/>
      <c r="I39" s="1"/>
    </row>
    <row r="40" spans="2:9" ht="15" x14ac:dyDescent="0.3">
      <c r="B40" s="6">
        <v>38</v>
      </c>
      <c r="C40" s="9" t="s">
        <v>28</v>
      </c>
      <c r="D40" s="9">
        <v>1</v>
      </c>
      <c r="E40" s="9">
        <v>102.2</v>
      </c>
      <c r="F40" s="9">
        <f>E40</f>
        <v>102.2</v>
      </c>
      <c r="G40" s="9"/>
      <c r="H40" s="1"/>
      <c r="I40" s="1"/>
    </row>
    <row r="41" spans="2:9" ht="15" x14ac:dyDescent="0.3">
      <c r="B41" s="6">
        <v>39</v>
      </c>
      <c r="C41" s="9" t="s">
        <v>29</v>
      </c>
      <c r="D41" s="9">
        <v>1</v>
      </c>
      <c r="E41" s="9" t="s">
        <v>114</v>
      </c>
      <c r="F41" s="9">
        <f>73.5+6</f>
        <v>79.5</v>
      </c>
      <c r="G41" s="9" t="s">
        <v>17</v>
      </c>
      <c r="H41" s="1"/>
      <c r="I41" s="1"/>
    </row>
    <row r="42" spans="2:9" ht="30" x14ac:dyDescent="0.3">
      <c r="B42" s="6">
        <v>40</v>
      </c>
      <c r="C42" s="9" t="s">
        <v>30</v>
      </c>
      <c r="D42" s="9">
        <v>1</v>
      </c>
      <c r="E42" s="9" t="s">
        <v>82</v>
      </c>
      <c r="F42" s="9">
        <f>9.5+17</f>
        <v>26.5</v>
      </c>
      <c r="G42" s="9" t="s">
        <v>16</v>
      </c>
      <c r="H42" s="1"/>
      <c r="I42" s="1"/>
    </row>
    <row r="43" spans="2:9" ht="27.6" customHeight="1" x14ac:dyDescent="0.3">
      <c r="B43" s="6">
        <v>41</v>
      </c>
      <c r="C43" s="9" t="s">
        <v>30</v>
      </c>
      <c r="D43" s="9">
        <v>1</v>
      </c>
      <c r="E43" s="9" t="s">
        <v>115</v>
      </c>
      <c r="F43" s="9">
        <f>3.7+10</f>
        <v>13.7</v>
      </c>
      <c r="G43" s="9" t="s">
        <v>16</v>
      </c>
      <c r="H43" s="1"/>
      <c r="I43" s="1"/>
    </row>
    <row r="44" spans="2:9" ht="28.2" customHeight="1" x14ac:dyDescent="0.3">
      <c r="B44" s="6">
        <v>42</v>
      </c>
      <c r="C44" s="9" t="s">
        <v>30</v>
      </c>
      <c r="D44" s="9">
        <v>1</v>
      </c>
      <c r="E44" s="9" t="s">
        <v>116</v>
      </c>
      <c r="F44" s="9">
        <f>7.5+17</f>
        <v>24.5</v>
      </c>
      <c r="G44" s="9" t="s">
        <v>16</v>
      </c>
      <c r="H44" s="1"/>
      <c r="I44" s="1"/>
    </row>
    <row r="45" spans="2:9" ht="15" x14ac:dyDescent="0.3">
      <c r="B45" s="6">
        <v>43</v>
      </c>
      <c r="C45" s="9" t="s">
        <v>31</v>
      </c>
      <c r="D45" s="9">
        <v>1</v>
      </c>
      <c r="E45" s="9">
        <v>3</v>
      </c>
      <c r="F45" s="9">
        <f>E45</f>
        <v>3</v>
      </c>
      <c r="G45" s="9" t="s">
        <v>65</v>
      </c>
      <c r="H45" s="1"/>
      <c r="I45" s="1"/>
    </row>
    <row r="46" spans="2:9" ht="15" x14ac:dyDescent="0.3">
      <c r="B46" s="6">
        <v>44</v>
      </c>
      <c r="C46" s="9" t="s">
        <v>31</v>
      </c>
      <c r="D46" s="9">
        <v>1</v>
      </c>
      <c r="E46" s="6">
        <v>5.5</v>
      </c>
      <c r="F46" s="9">
        <f t="shared" ref="F46:F47" si="2">E46</f>
        <v>5.5</v>
      </c>
      <c r="G46" s="9" t="s">
        <v>65</v>
      </c>
      <c r="H46" s="1"/>
      <c r="I46" s="1"/>
    </row>
    <row r="47" spans="2:9" ht="15" x14ac:dyDescent="0.3">
      <c r="B47" s="6">
        <v>45</v>
      </c>
      <c r="C47" s="9" t="s">
        <v>15</v>
      </c>
      <c r="D47" s="9">
        <v>1</v>
      </c>
      <c r="E47" s="9">
        <v>2</v>
      </c>
      <c r="F47" s="9">
        <f t="shared" si="2"/>
        <v>2</v>
      </c>
      <c r="G47" s="9" t="s">
        <v>65</v>
      </c>
      <c r="H47" s="1"/>
      <c r="I47" s="1"/>
    </row>
    <row r="48" spans="2:9" ht="15" x14ac:dyDescent="0.3">
      <c r="B48" s="6">
        <v>46</v>
      </c>
      <c r="C48" s="9" t="s">
        <v>5</v>
      </c>
      <c r="D48" s="9">
        <v>1</v>
      </c>
      <c r="E48" s="9">
        <v>45</v>
      </c>
      <c r="F48" s="9">
        <f t="shared" ref="F48:F61" si="3">D48*E48</f>
        <v>45</v>
      </c>
      <c r="G48" s="9" t="s">
        <v>65</v>
      </c>
      <c r="H48" s="1"/>
    </row>
    <row r="49" spans="2:8" ht="15" x14ac:dyDescent="0.3">
      <c r="B49" s="6">
        <v>47</v>
      </c>
      <c r="C49" s="9" t="s">
        <v>5</v>
      </c>
      <c r="D49" s="9">
        <v>1</v>
      </c>
      <c r="E49" s="9">
        <v>43.5</v>
      </c>
      <c r="F49" s="9">
        <f t="shared" si="3"/>
        <v>43.5</v>
      </c>
      <c r="G49" s="9" t="s">
        <v>65</v>
      </c>
      <c r="H49" s="1"/>
    </row>
    <row r="50" spans="2:8" ht="15" x14ac:dyDescent="0.3">
      <c r="B50" s="6">
        <v>48</v>
      </c>
      <c r="C50" s="9" t="s">
        <v>33</v>
      </c>
      <c r="D50" s="9">
        <v>1</v>
      </c>
      <c r="E50" s="9">
        <v>4</v>
      </c>
      <c r="F50" s="9">
        <f t="shared" si="3"/>
        <v>4</v>
      </c>
      <c r="G50" s="9" t="s">
        <v>65</v>
      </c>
      <c r="H50" s="1"/>
    </row>
    <row r="51" spans="2:8" ht="15" x14ac:dyDescent="0.3">
      <c r="B51" s="6">
        <v>49</v>
      </c>
      <c r="C51" s="9" t="s">
        <v>34</v>
      </c>
      <c r="D51" s="9">
        <v>7</v>
      </c>
      <c r="E51" s="12">
        <v>2.2000000000000002</v>
      </c>
      <c r="F51" s="9">
        <f t="shared" si="3"/>
        <v>15.400000000000002</v>
      </c>
      <c r="G51" s="9" t="s">
        <v>65</v>
      </c>
      <c r="H51" s="1"/>
    </row>
    <row r="52" spans="2:8" ht="15" x14ac:dyDescent="0.3">
      <c r="B52" s="6">
        <v>50</v>
      </c>
      <c r="C52" s="9" t="s">
        <v>35</v>
      </c>
      <c r="D52" s="9">
        <v>1</v>
      </c>
      <c r="E52" s="9">
        <v>91.1</v>
      </c>
      <c r="F52" s="9">
        <f t="shared" si="3"/>
        <v>91.1</v>
      </c>
      <c r="G52" s="9" t="s">
        <v>65</v>
      </c>
      <c r="H52" s="1"/>
    </row>
    <row r="53" spans="2:8" ht="15" x14ac:dyDescent="0.3">
      <c r="B53" s="6">
        <v>51</v>
      </c>
      <c r="C53" s="9" t="s">
        <v>36</v>
      </c>
      <c r="D53" s="9">
        <v>1</v>
      </c>
      <c r="E53" s="9">
        <v>75.099999999999994</v>
      </c>
      <c r="F53" s="9">
        <f t="shared" si="3"/>
        <v>75.099999999999994</v>
      </c>
      <c r="G53" s="9" t="s">
        <v>65</v>
      </c>
      <c r="H53" s="1"/>
    </row>
    <row r="54" spans="2:8" ht="15" x14ac:dyDescent="0.3">
      <c r="B54" s="6">
        <v>52</v>
      </c>
      <c r="C54" s="9" t="s">
        <v>36</v>
      </c>
      <c r="D54" s="9">
        <v>1</v>
      </c>
      <c r="E54" s="9">
        <v>75.7</v>
      </c>
      <c r="F54" s="9">
        <f t="shared" si="3"/>
        <v>75.7</v>
      </c>
      <c r="G54" s="9" t="s">
        <v>65</v>
      </c>
      <c r="H54" s="1"/>
    </row>
    <row r="55" spans="2:8" ht="15" x14ac:dyDescent="0.3">
      <c r="B55" s="6">
        <v>53</v>
      </c>
      <c r="C55" s="9" t="s">
        <v>37</v>
      </c>
      <c r="D55" s="9">
        <v>2</v>
      </c>
      <c r="E55" s="9">
        <v>61.48</v>
      </c>
      <c r="F55" s="9">
        <f t="shared" si="3"/>
        <v>122.96</v>
      </c>
      <c r="G55" s="9" t="s">
        <v>65</v>
      </c>
      <c r="H55" s="1"/>
    </row>
    <row r="56" spans="2:8" ht="15" x14ac:dyDescent="0.3">
      <c r="B56" s="6">
        <v>54</v>
      </c>
      <c r="C56" s="9" t="s">
        <v>38</v>
      </c>
      <c r="D56" s="9">
        <v>2</v>
      </c>
      <c r="E56" s="9">
        <v>68</v>
      </c>
      <c r="F56" s="9">
        <f t="shared" si="3"/>
        <v>136</v>
      </c>
      <c r="G56" s="9" t="s">
        <v>65</v>
      </c>
      <c r="H56" s="1"/>
    </row>
    <row r="57" spans="2:8" ht="15" x14ac:dyDescent="0.3">
      <c r="B57" s="6">
        <v>55</v>
      </c>
      <c r="C57" s="9" t="s">
        <v>39</v>
      </c>
      <c r="D57" s="9">
        <v>3</v>
      </c>
      <c r="E57" s="9">
        <v>59.2</v>
      </c>
      <c r="F57" s="9">
        <f t="shared" si="3"/>
        <v>177.60000000000002</v>
      </c>
      <c r="G57" s="9" t="s">
        <v>65</v>
      </c>
      <c r="H57" s="1"/>
    </row>
    <row r="58" spans="2:8" ht="15" x14ac:dyDescent="0.3">
      <c r="B58" s="6">
        <v>56</v>
      </c>
      <c r="C58" s="9" t="s">
        <v>40</v>
      </c>
      <c r="D58" s="9">
        <v>4</v>
      </c>
      <c r="E58" s="9">
        <v>48.5</v>
      </c>
      <c r="F58" s="9">
        <f t="shared" si="3"/>
        <v>194</v>
      </c>
      <c r="G58" s="9" t="s">
        <v>65</v>
      </c>
      <c r="H58" s="1"/>
    </row>
    <row r="59" spans="2:8" ht="15" x14ac:dyDescent="0.3">
      <c r="B59" s="6">
        <v>57</v>
      </c>
      <c r="C59" s="9" t="s">
        <v>41</v>
      </c>
      <c r="D59" s="9">
        <v>2</v>
      </c>
      <c r="E59" s="9">
        <v>38.25</v>
      </c>
      <c r="F59" s="9">
        <f t="shared" si="3"/>
        <v>76.5</v>
      </c>
      <c r="G59" s="9" t="s">
        <v>65</v>
      </c>
      <c r="H59" s="1"/>
    </row>
    <row r="60" spans="2:8" ht="15" x14ac:dyDescent="0.3">
      <c r="B60" s="6">
        <v>58</v>
      </c>
      <c r="C60" s="9" t="s">
        <v>42</v>
      </c>
      <c r="D60" s="9">
        <v>2</v>
      </c>
      <c r="E60" s="9">
        <v>66.25</v>
      </c>
      <c r="F60" s="9">
        <f t="shared" si="3"/>
        <v>132.5</v>
      </c>
      <c r="G60" s="9" t="s">
        <v>65</v>
      </c>
      <c r="H60" s="1"/>
    </row>
    <row r="61" spans="2:8" ht="15" x14ac:dyDescent="0.3">
      <c r="B61" s="6">
        <v>59</v>
      </c>
      <c r="C61" s="9" t="s">
        <v>43</v>
      </c>
      <c r="D61" s="9">
        <v>1</v>
      </c>
      <c r="E61" s="9">
        <v>56.3</v>
      </c>
      <c r="F61" s="9">
        <f t="shared" si="3"/>
        <v>56.3</v>
      </c>
      <c r="G61" s="9" t="s">
        <v>65</v>
      </c>
      <c r="H61" s="1"/>
    </row>
    <row r="62" spans="2:8" ht="30" x14ac:dyDescent="0.3">
      <c r="B62" s="6">
        <v>60</v>
      </c>
      <c r="C62" s="9" t="s">
        <v>45</v>
      </c>
      <c r="D62" s="9">
        <v>1</v>
      </c>
      <c r="E62" s="9" t="s">
        <v>105</v>
      </c>
      <c r="F62" s="9">
        <f>65.15+27</f>
        <v>92.15</v>
      </c>
      <c r="G62" s="6" t="s">
        <v>16</v>
      </c>
      <c r="H62" s="1"/>
    </row>
    <row r="63" spans="2:8" ht="30" x14ac:dyDescent="0.3">
      <c r="B63" s="6">
        <v>61</v>
      </c>
      <c r="C63" s="9" t="s">
        <v>45</v>
      </c>
      <c r="D63" s="9">
        <v>1</v>
      </c>
      <c r="E63" s="9" t="s">
        <v>64</v>
      </c>
      <c r="F63" s="9">
        <f>66.6+48</f>
        <v>114.6</v>
      </c>
      <c r="G63" s="6" t="s">
        <v>16</v>
      </c>
      <c r="H63" s="1"/>
    </row>
    <row r="64" spans="2:8" ht="30" x14ac:dyDescent="0.3">
      <c r="B64" s="6">
        <v>62</v>
      </c>
      <c r="C64" s="9" t="s">
        <v>46</v>
      </c>
      <c r="D64" s="9">
        <v>1</v>
      </c>
      <c r="E64" s="9" t="s">
        <v>117</v>
      </c>
      <c r="F64" s="9">
        <f>144.7+12</f>
        <v>156.69999999999999</v>
      </c>
      <c r="G64" s="6" t="s">
        <v>16</v>
      </c>
      <c r="H64" s="1"/>
    </row>
    <row r="65" spans="2:8" ht="15" x14ac:dyDescent="0.3">
      <c r="B65" s="6">
        <v>63</v>
      </c>
      <c r="C65" s="9" t="s">
        <v>15</v>
      </c>
      <c r="D65" s="9">
        <v>1</v>
      </c>
      <c r="E65" s="9">
        <v>1</v>
      </c>
      <c r="F65" s="9">
        <f>E65</f>
        <v>1</v>
      </c>
      <c r="G65" s="9" t="s">
        <v>65</v>
      </c>
      <c r="H65" s="1"/>
    </row>
    <row r="66" spans="2:8" ht="15" x14ac:dyDescent="0.3">
      <c r="B66" s="6">
        <v>64</v>
      </c>
      <c r="C66" s="9" t="s">
        <v>47</v>
      </c>
      <c r="D66" s="9">
        <v>1</v>
      </c>
      <c r="E66" s="9">
        <v>157.44999999999999</v>
      </c>
      <c r="F66" s="9">
        <f>D66*E66</f>
        <v>157.44999999999999</v>
      </c>
      <c r="G66" s="6" t="s">
        <v>16</v>
      </c>
      <c r="H66" s="1"/>
    </row>
    <row r="67" spans="2:8" ht="15" x14ac:dyDescent="0.3">
      <c r="B67" s="6">
        <v>65</v>
      </c>
      <c r="C67" s="9" t="s">
        <v>79</v>
      </c>
      <c r="D67" s="9">
        <v>1</v>
      </c>
      <c r="E67" s="9">
        <v>39</v>
      </c>
      <c r="F67" s="9">
        <f t="shared" ref="F67:F74" si="4">D67*E67</f>
        <v>39</v>
      </c>
      <c r="G67" s="6" t="s">
        <v>16</v>
      </c>
      <c r="H67" s="1"/>
    </row>
    <row r="68" spans="2:8" ht="15" x14ac:dyDescent="0.3">
      <c r="B68" s="6">
        <v>66</v>
      </c>
      <c r="C68" s="9" t="s">
        <v>48</v>
      </c>
      <c r="D68" s="9">
        <v>1</v>
      </c>
      <c r="E68" s="9">
        <v>89.5</v>
      </c>
      <c r="F68" s="9">
        <f t="shared" si="4"/>
        <v>89.5</v>
      </c>
      <c r="G68" s="9" t="s">
        <v>16</v>
      </c>
      <c r="H68" s="1"/>
    </row>
    <row r="69" spans="2:8" ht="15" x14ac:dyDescent="0.3">
      <c r="B69" s="6">
        <v>67</v>
      </c>
      <c r="C69" s="9" t="s">
        <v>29</v>
      </c>
      <c r="D69" s="9">
        <v>1</v>
      </c>
      <c r="E69" s="9">
        <v>55</v>
      </c>
      <c r="F69" s="9">
        <f t="shared" si="4"/>
        <v>55</v>
      </c>
      <c r="G69" s="9" t="s">
        <v>16</v>
      </c>
      <c r="H69" s="1"/>
    </row>
    <row r="70" spans="2:8" ht="15" x14ac:dyDescent="0.3">
      <c r="B70" s="6">
        <v>68</v>
      </c>
      <c r="C70" s="9" t="s">
        <v>49</v>
      </c>
      <c r="D70" s="9">
        <v>1</v>
      </c>
      <c r="E70" s="9">
        <v>136.4</v>
      </c>
      <c r="F70" s="9">
        <f t="shared" si="4"/>
        <v>136.4</v>
      </c>
      <c r="G70" s="9" t="s">
        <v>65</v>
      </c>
      <c r="H70" s="1"/>
    </row>
    <row r="71" spans="2:8" ht="15" x14ac:dyDescent="0.3">
      <c r="B71" s="6">
        <v>69</v>
      </c>
      <c r="C71" s="9" t="s">
        <v>21</v>
      </c>
      <c r="D71" s="9">
        <v>1</v>
      </c>
      <c r="E71" s="9">
        <v>2.2000000000000002</v>
      </c>
      <c r="F71" s="9">
        <f t="shared" si="4"/>
        <v>2.2000000000000002</v>
      </c>
      <c r="G71" s="9" t="s">
        <v>65</v>
      </c>
      <c r="H71" s="1"/>
    </row>
    <row r="72" spans="2:8" ht="15" x14ac:dyDescent="0.3">
      <c r="B72" s="6">
        <v>70</v>
      </c>
      <c r="C72" s="9" t="s">
        <v>33</v>
      </c>
      <c r="D72" s="9">
        <v>1</v>
      </c>
      <c r="E72" s="9">
        <v>4</v>
      </c>
      <c r="F72" s="9">
        <f t="shared" si="4"/>
        <v>4</v>
      </c>
      <c r="G72" s="9" t="s">
        <v>65</v>
      </c>
      <c r="H72" s="1"/>
    </row>
    <row r="73" spans="2:8" ht="15" x14ac:dyDescent="0.3">
      <c r="B73" s="6">
        <v>71</v>
      </c>
      <c r="C73" s="9" t="s">
        <v>50</v>
      </c>
      <c r="D73" s="9">
        <v>1</v>
      </c>
      <c r="E73" s="9">
        <v>47</v>
      </c>
      <c r="F73" s="9">
        <f t="shared" si="4"/>
        <v>47</v>
      </c>
      <c r="G73" s="9" t="s">
        <v>65</v>
      </c>
      <c r="H73" s="1"/>
    </row>
    <row r="74" spans="2:8" ht="15" x14ac:dyDescent="0.3">
      <c r="B74" s="6">
        <v>72</v>
      </c>
      <c r="C74" s="9" t="s">
        <v>51</v>
      </c>
      <c r="D74" s="9">
        <v>1</v>
      </c>
      <c r="E74" s="9">
        <v>45</v>
      </c>
      <c r="F74" s="9">
        <f t="shared" si="4"/>
        <v>45</v>
      </c>
      <c r="G74" s="9" t="s">
        <v>65</v>
      </c>
      <c r="H74" s="1"/>
    </row>
    <row r="75" spans="2:8" ht="15" x14ac:dyDescent="0.3">
      <c r="B75" s="6">
        <v>73</v>
      </c>
      <c r="C75" s="9" t="s">
        <v>15</v>
      </c>
      <c r="D75" s="9">
        <v>1</v>
      </c>
      <c r="E75" s="9">
        <v>0.9</v>
      </c>
      <c r="F75" s="9">
        <f>0.9</f>
        <v>0.9</v>
      </c>
      <c r="G75" s="9" t="s">
        <v>65</v>
      </c>
      <c r="H75" s="1"/>
    </row>
    <row r="76" spans="2:8" ht="15" x14ac:dyDescent="0.3">
      <c r="B76" s="6">
        <v>74</v>
      </c>
      <c r="C76" s="9" t="s">
        <v>15</v>
      </c>
      <c r="D76" s="9">
        <v>10</v>
      </c>
      <c r="E76" s="9">
        <f>150/1000</f>
        <v>0.15</v>
      </c>
      <c r="F76" s="9">
        <f>D76*E76</f>
        <v>1.5</v>
      </c>
      <c r="G76" s="13" t="s">
        <v>65</v>
      </c>
      <c r="H76" s="1"/>
    </row>
    <row r="77" spans="2:8" ht="15" x14ac:dyDescent="0.3">
      <c r="B77" s="6">
        <v>75</v>
      </c>
      <c r="C77" s="9" t="s">
        <v>15</v>
      </c>
      <c r="D77" s="9">
        <v>3</v>
      </c>
      <c r="E77" s="9">
        <f>150/1000</f>
        <v>0.15</v>
      </c>
      <c r="F77" s="9">
        <f>D77*E77</f>
        <v>0.44999999999999996</v>
      </c>
      <c r="G77" s="13" t="s">
        <v>65</v>
      </c>
      <c r="H77" s="1"/>
    </row>
    <row r="78" spans="2:8" ht="15" x14ac:dyDescent="0.3">
      <c r="B78" s="6">
        <v>76</v>
      </c>
      <c r="C78" s="9" t="s">
        <v>55</v>
      </c>
      <c r="D78" s="9">
        <v>1</v>
      </c>
      <c r="E78" s="9">
        <f>200/1000</f>
        <v>0.2</v>
      </c>
      <c r="F78" s="9">
        <f>D78*E78</f>
        <v>0.2</v>
      </c>
      <c r="G78" s="13" t="s">
        <v>65</v>
      </c>
      <c r="H78" s="1"/>
    </row>
    <row r="79" spans="2:8" ht="15" x14ac:dyDescent="0.3">
      <c r="B79" s="6">
        <v>77</v>
      </c>
      <c r="C79" s="9" t="s">
        <v>77</v>
      </c>
      <c r="D79" s="9">
        <v>1</v>
      </c>
      <c r="E79" s="9">
        <v>0.7</v>
      </c>
      <c r="F79" s="9">
        <f t="shared" ref="F79:F83" si="5">D79*E79</f>
        <v>0.7</v>
      </c>
      <c r="G79" s="13" t="s">
        <v>65</v>
      </c>
      <c r="H79" s="1"/>
    </row>
    <row r="80" spans="2:8" ht="15" x14ac:dyDescent="0.3">
      <c r="B80" s="6">
        <v>78</v>
      </c>
      <c r="C80" s="9" t="s">
        <v>78</v>
      </c>
      <c r="D80" s="9">
        <v>1</v>
      </c>
      <c r="E80" s="9">
        <v>27</v>
      </c>
      <c r="F80" s="9">
        <f t="shared" si="5"/>
        <v>27</v>
      </c>
      <c r="G80" s="13" t="s">
        <v>65</v>
      </c>
      <c r="H80" s="1"/>
    </row>
    <row r="81" spans="2:8" ht="15" x14ac:dyDescent="0.3">
      <c r="B81" s="6">
        <v>79</v>
      </c>
      <c r="C81" s="9" t="s">
        <v>93</v>
      </c>
      <c r="D81" s="9">
        <v>1</v>
      </c>
      <c r="E81" s="9">
        <v>0.9</v>
      </c>
      <c r="F81" s="9">
        <f t="shared" si="5"/>
        <v>0.9</v>
      </c>
      <c r="G81" s="13" t="s">
        <v>65</v>
      </c>
      <c r="H81" s="1"/>
    </row>
    <row r="82" spans="2:8" ht="15" x14ac:dyDescent="0.3">
      <c r="B82" s="6">
        <v>80</v>
      </c>
      <c r="C82" s="9" t="s">
        <v>75</v>
      </c>
      <c r="D82" s="9">
        <v>1</v>
      </c>
      <c r="E82" s="9">
        <v>5</v>
      </c>
      <c r="F82" s="9">
        <f t="shared" si="5"/>
        <v>5</v>
      </c>
      <c r="G82" s="13" t="s">
        <v>65</v>
      </c>
      <c r="H82" s="1"/>
    </row>
    <row r="83" spans="2:8" ht="15" x14ac:dyDescent="0.3">
      <c r="B83" s="6">
        <v>81</v>
      </c>
      <c r="C83" s="9" t="s">
        <v>76</v>
      </c>
      <c r="D83" s="9">
        <v>1</v>
      </c>
      <c r="E83" s="9">
        <v>1</v>
      </c>
      <c r="F83" s="9">
        <f t="shared" si="5"/>
        <v>1</v>
      </c>
      <c r="G83" s="13" t="s">
        <v>65</v>
      </c>
      <c r="H83" s="1"/>
    </row>
    <row r="84" spans="2:8" ht="15" x14ac:dyDescent="0.3">
      <c r="B84" s="6">
        <v>82</v>
      </c>
      <c r="C84" s="9" t="s">
        <v>59</v>
      </c>
      <c r="D84" s="9">
        <v>10</v>
      </c>
      <c r="E84" s="9">
        <v>2.8</v>
      </c>
      <c r="F84" s="9">
        <f>E84*D84</f>
        <v>28</v>
      </c>
      <c r="G84" s="13" t="s">
        <v>65</v>
      </c>
      <c r="H84" s="1"/>
    </row>
    <row r="85" spans="2:8" ht="15" x14ac:dyDescent="0.3">
      <c r="B85" s="6">
        <v>83</v>
      </c>
      <c r="C85" s="9" t="s">
        <v>21</v>
      </c>
      <c r="D85" s="9">
        <v>1</v>
      </c>
      <c r="E85" s="9">
        <v>0.75</v>
      </c>
      <c r="F85" s="9">
        <f t="shared" ref="F85:F88" si="6">E85*D85</f>
        <v>0.75</v>
      </c>
      <c r="G85" s="13" t="s">
        <v>65</v>
      </c>
      <c r="H85" s="1"/>
    </row>
    <row r="86" spans="2:8" ht="15" x14ac:dyDescent="0.3">
      <c r="B86" s="6">
        <v>84</v>
      </c>
      <c r="C86" s="9" t="s">
        <v>60</v>
      </c>
      <c r="D86" s="9">
        <v>1</v>
      </c>
      <c r="E86" s="9">
        <v>1.5</v>
      </c>
      <c r="F86" s="9">
        <f t="shared" si="6"/>
        <v>1.5</v>
      </c>
      <c r="G86" s="13" t="s">
        <v>65</v>
      </c>
      <c r="H86" s="1"/>
    </row>
    <row r="87" spans="2:8" ht="15" x14ac:dyDescent="0.3">
      <c r="B87" s="6">
        <v>85</v>
      </c>
      <c r="C87" s="9" t="s">
        <v>61</v>
      </c>
      <c r="D87" s="9">
        <v>1</v>
      </c>
      <c r="E87" s="9">
        <v>6.5</v>
      </c>
      <c r="F87" s="9">
        <f t="shared" si="6"/>
        <v>6.5</v>
      </c>
      <c r="G87" s="13" t="s">
        <v>65</v>
      </c>
      <c r="H87" s="1"/>
    </row>
    <row r="88" spans="2:8" ht="15" x14ac:dyDescent="0.3">
      <c r="B88" s="6">
        <v>86</v>
      </c>
      <c r="C88" s="9" t="s">
        <v>15</v>
      </c>
      <c r="D88" s="9">
        <v>1</v>
      </c>
      <c r="E88" s="9">
        <v>1.1000000000000001</v>
      </c>
      <c r="F88" s="9">
        <f t="shared" si="6"/>
        <v>1.1000000000000001</v>
      </c>
      <c r="G88" s="13" t="s">
        <v>65</v>
      </c>
      <c r="H88" s="1"/>
    </row>
    <row r="89" spans="2:8" ht="15" x14ac:dyDescent="0.3">
      <c r="B89" s="6">
        <v>87</v>
      </c>
      <c r="C89" s="9" t="s">
        <v>23</v>
      </c>
      <c r="D89" s="9">
        <v>2</v>
      </c>
      <c r="E89" s="9">
        <v>3.3</v>
      </c>
      <c r="F89" s="9">
        <f>D89*E89</f>
        <v>6.6</v>
      </c>
      <c r="G89" s="13" t="s">
        <v>65</v>
      </c>
      <c r="H89" s="1"/>
    </row>
    <row r="90" spans="2:8" ht="15" x14ac:dyDescent="0.3">
      <c r="B90" s="6">
        <v>88</v>
      </c>
      <c r="C90" s="9" t="s">
        <v>62</v>
      </c>
      <c r="D90" s="9">
        <v>1</v>
      </c>
      <c r="E90" s="9">
        <v>3.5</v>
      </c>
      <c r="F90" s="9">
        <f t="shared" ref="F90:F92" si="7">D90*E90</f>
        <v>3.5</v>
      </c>
      <c r="G90" s="13" t="s">
        <v>65</v>
      </c>
      <c r="H90" s="1"/>
    </row>
    <row r="91" spans="2:8" ht="15" x14ac:dyDescent="0.3">
      <c r="B91" s="6">
        <v>89</v>
      </c>
      <c r="C91" s="9" t="s">
        <v>21</v>
      </c>
      <c r="D91" s="9">
        <v>2</v>
      </c>
      <c r="E91" s="9">
        <v>1.85</v>
      </c>
      <c r="F91" s="9">
        <f t="shared" si="7"/>
        <v>3.7</v>
      </c>
      <c r="G91" s="13" t="s">
        <v>65</v>
      </c>
      <c r="H91" s="1"/>
    </row>
    <row r="92" spans="2:8" ht="15" x14ac:dyDescent="0.3">
      <c r="B92" s="6">
        <v>90</v>
      </c>
      <c r="C92" s="9" t="s">
        <v>15</v>
      </c>
      <c r="D92" s="9">
        <v>1</v>
      </c>
      <c r="E92" s="9">
        <v>0.5</v>
      </c>
      <c r="F92" s="9">
        <f t="shared" si="7"/>
        <v>0.5</v>
      </c>
      <c r="G92" s="13" t="s">
        <v>65</v>
      </c>
      <c r="H92" s="1"/>
    </row>
    <row r="93" spans="2:8" ht="15.6" x14ac:dyDescent="0.3">
      <c r="B93" s="25" t="s">
        <v>87</v>
      </c>
      <c r="C93" s="25"/>
      <c r="D93" s="20">
        <f>SUM(D3:D92)</f>
        <v>135</v>
      </c>
      <c r="E93" s="21"/>
      <c r="F93" s="20">
        <f>SUM(F9:F92)</f>
        <v>6083.2099999999991</v>
      </c>
      <c r="G93" s="21"/>
    </row>
  </sheetData>
  <mergeCells count="1">
    <mergeCell ref="B93:C9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4156-3FB7-4531-A271-97F1B0FA0814}">
  <dimension ref="B2:G85"/>
  <sheetViews>
    <sheetView topLeftCell="A52" zoomScale="70" zoomScaleNormal="70" workbookViewId="0">
      <selection activeCell="K64" sqref="K64"/>
    </sheetView>
  </sheetViews>
  <sheetFormatPr defaultRowHeight="14.4" x14ac:dyDescent="0.3"/>
  <cols>
    <col min="3" max="3" width="42.44140625" customWidth="1"/>
    <col min="4" max="4" width="6.88671875" customWidth="1"/>
    <col min="5" max="5" width="11.44140625" customWidth="1"/>
    <col min="6" max="6" width="10" customWidth="1"/>
    <col min="7" max="7" width="6" customWidth="1"/>
  </cols>
  <sheetData>
    <row r="2" spans="2:7" ht="45" x14ac:dyDescent="0.3">
      <c r="B2" s="6" t="s">
        <v>1</v>
      </c>
      <c r="C2" s="7" t="s">
        <v>2</v>
      </c>
      <c r="D2" s="7" t="s">
        <v>90</v>
      </c>
      <c r="E2" s="7" t="s">
        <v>94</v>
      </c>
      <c r="F2" s="7" t="s">
        <v>95</v>
      </c>
      <c r="G2" s="8" t="s">
        <v>83</v>
      </c>
    </row>
    <row r="3" spans="2:7" ht="15" x14ac:dyDescent="0.3">
      <c r="B3" s="6">
        <v>1</v>
      </c>
      <c r="C3" s="23" t="s">
        <v>91</v>
      </c>
      <c r="D3" s="9">
        <v>1</v>
      </c>
      <c r="E3" s="9"/>
      <c r="F3" s="9"/>
      <c r="G3" s="9" t="s">
        <v>65</v>
      </c>
    </row>
    <row r="4" spans="2:7" ht="15" x14ac:dyDescent="0.3">
      <c r="B4" s="6">
        <v>2</v>
      </c>
      <c r="C4" s="23" t="s">
        <v>99</v>
      </c>
      <c r="D4" s="9">
        <v>1</v>
      </c>
      <c r="E4" s="9"/>
      <c r="F4" s="9"/>
      <c r="G4" s="9" t="s">
        <v>65</v>
      </c>
    </row>
    <row r="5" spans="2:7" ht="15" x14ac:dyDescent="0.3">
      <c r="B5" s="6">
        <v>3</v>
      </c>
      <c r="C5" s="23" t="s">
        <v>100</v>
      </c>
      <c r="D5" s="9">
        <v>1</v>
      </c>
      <c r="E5" s="9"/>
      <c r="F5" s="9"/>
      <c r="G5" s="9" t="s">
        <v>65</v>
      </c>
    </row>
    <row r="6" spans="2:7" ht="15" x14ac:dyDescent="0.3">
      <c r="B6" s="6">
        <v>4</v>
      </c>
      <c r="C6" s="23" t="s">
        <v>96</v>
      </c>
      <c r="D6" s="9">
        <v>4</v>
      </c>
      <c r="E6" s="9"/>
      <c r="F6" s="9"/>
      <c r="G6" s="10" t="s">
        <v>66</v>
      </c>
    </row>
    <row r="7" spans="2:7" ht="15" x14ac:dyDescent="0.3">
      <c r="B7" s="6">
        <v>5</v>
      </c>
      <c r="C7" s="23" t="s">
        <v>98</v>
      </c>
      <c r="D7" s="9">
        <v>2</v>
      </c>
      <c r="E7" s="9"/>
      <c r="F7" s="9"/>
      <c r="G7" s="10" t="s">
        <v>65</v>
      </c>
    </row>
    <row r="8" spans="2:7" ht="15" x14ac:dyDescent="0.3">
      <c r="B8" s="6">
        <v>6</v>
      </c>
      <c r="C8" s="23" t="s">
        <v>97</v>
      </c>
      <c r="D8" s="9">
        <v>2</v>
      </c>
      <c r="E8" s="9"/>
      <c r="F8" s="9"/>
      <c r="G8" s="9" t="s">
        <v>65</v>
      </c>
    </row>
    <row r="9" spans="2:7" ht="30" x14ac:dyDescent="0.3">
      <c r="B9" s="6">
        <v>7</v>
      </c>
      <c r="C9" s="23" t="s">
        <v>92</v>
      </c>
      <c r="D9" s="9">
        <v>1</v>
      </c>
      <c r="E9" s="9"/>
      <c r="F9" s="9"/>
      <c r="G9" s="9" t="s">
        <v>65</v>
      </c>
    </row>
    <row r="10" spans="2:7" ht="30" x14ac:dyDescent="0.3">
      <c r="B10" s="6">
        <v>8</v>
      </c>
      <c r="C10" s="23" t="s">
        <v>102</v>
      </c>
      <c r="D10" s="9">
        <v>2</v>
      </c>
      <c r="E10" s="9"/>
      <c r="F10" s="9"/>
      <c r="G10" s="9" t="s">
        <v>65</v>
      </c>
    </row>
    <row r="11" spans="2:7" ht="15" x14ac:dyDescent="0.3">
      <c r="B11" s="6">
        <v>9</v>
      </c>
      <c r="C11" s="23" t="s">
        <v>15</v>
      </c>
      <c r="D11" s="9">
        <v>1</v>
      </c>
      <c r="E11" s="9">
        <f>0.7+9.45</f>
        <v>10.149999999999999</v>
      </c>
      <c r="F11" s="9">
        <v>9.4499999999999993</v>
      </c>
      <c r="G11" s="9" t="s">
        <v>65</v>
      </c>
    </row>
    <row r="12" spans="2:7" ht="15" x14ac:dyDescent="0.3">
      <c r="B12" s="6">
        <v>10</v>
      </c>
      <c r="C12" s="23" t="s">
        <v>4</v>
      </c>
      <c r="D12" s="9">
        <v>2</v>
      </c>
      <c r="E12" s="9">
        <v>7.5</v>
      </c>
      <c r="F12" s="9">
        <f t="shared" ref="F12:F20" si="0">D12*E12</f>
        <v>15</v>
      </c>
      <c r="G12" s="9" t="s">
        <v>16</v>
      </c>
    </row>
    <row r="13" spans="2:7" ht="15" x14ac:dyDescent="0.3">
      <c r="B13" s="6">
        <v>11</v>
      </c>
      <c r="C13" s="23" t="s">
        <v>4</v>
      </c>
      <c r="D13" s="9">
        <v>1</v>
      </c>
      <c r="E13" s="9">
        <v>2.2000000000000002</v>
      </c>
      <c r="F13" s="9">
        <f t="shared" si="0"/>
        <v>2.2000000000000002</v>
      </c>
      <c r="G13" s="9" t="s">
        <v>65</v>
      </c>
    </row>
    <row r="14" spans="2:7" ht="15" x14ac:dyDescent="0.3">
      <c r="B14" s="6">
        <v>12</v>
      </c>
      <c r="C14" s="23" t="s">
        <v>5</v>
      </c>
      <c r="D14" s="9">
        <v>1</v>
      </c>
      <c r="E14" s="9">
        <v>92</v>
      </c>
      <c r="F14" s="9">
        <f t="shared" si="0"/>
        <v>92</v>
      </c>
      <c r="G14" s="9" t="s">
        <v>16</v>
      </c>
    </row>
    <row r="15" spans="2:7" ht="15" x14ac:dyDescent="0.3">
      <c r="B15" s="6">
        <v>13</v>
      </c>
      <c r="C15" s="23" t="s">
        <v>63</v>
      </c>
      <c r="D15" s="9">
        <v>2</v>
      </c>
      <c r="E15" s="9">
        <v>22</v>
      </c>
      <c r="F15" s="9">
        <f t="shared" si="0"/>
        <v>44</v>
      </c>
      <c r="G15" s="9" t="s">
        <v>16</v>
      </c>
    </row>
    <row r="16" spans="2:7" ht="15" x14ac:dyDescent="0.3">
      <c r="B16" s="6">
        <v>14</v>
      </c>
      <c r="C16" s="23" t="s">
        <v>63</v>
      </c>
      <c r="D16" s="9">
        <v>1</v>
      </c>
      <c r="E16" s="9">
        <v>7.5</v>
      </c>
      <c r="F16" s="9">
        <f t="shared" si="0"/>
        <v>7.5</v>
      </c>
      <c r="G16" s="9" t="s">
        <v>65</v>
      </c>
    </row>
    <row r="17" spans="2:7" ht="15" x14ac:dyDescent="0.3">
      <c r="B17" s="6">
        <v>15</v>
      </c>
      <c r="C17" s="23" t="s">
        <v>7</v>
      </c>
      <c r="D17" s="9">
        <v>1</v>
      </c>
      <c r="E17" s="9">
        <v>3</v>
      </c>
      <c r="F17" s="9">
        <f t="shared" si="0"/>
        <v>3</v>
      </c>
      <c r="G17" s="9" t="s">
        <v>65</v>
      </c>
    </row>
    <row r="18" spans="2:7" ht="15" x14ac:dyDescent="0.3">
      <c r="B18" s="6">
        <v>16</v>
      </c>
      <c r="C18" s="23" t="s">
        <v>81</v>
      </c>
      <c r="D18" s="9">
        <v>1</v>
      </c>
      <c r="E18" s="9">
        <v>2.2000000000000002</v>
      </c>
      <c r="F18" s="9">
        <f t="shared" si="0"/>
        <v>2.2000000000000002</v>
      </c>
      <c r="G18" s="9" t="s">
        <v>65</v>
      </c>
    </row>
    <row r="19" spans="2:7" ht="15" x14ac:dyDescent="0.3">
      <c r="B19" s="6">
        <v>17</v>
      </c>
      <c r="C19" s="23" t="s">
        <v>81</v>
      </c>
      <c r="D19" s="9">
        <v>1</v>
      </c>
      <c r="E19" s="9">
        <v>1.5</v>
      </c>
      <c r="F19" s="9">
        <f t="shared" si="0"/>
        <v>1.5</v>
      </c>
      <c r="G19" s="9" t="s">
        <v>65</v>
      </c>
    </row>
    <row r="20" spans="2:7" ht="15" x14ac:dyDescent="0.3">
      <c r="B20" s="6">
        <v>18</v>
      </c>
      <c r="C20" s="23" t="s">
        <v>81</v>
      </c>
      <c r="D20" s="9">
        <v>1</v>
      </c>
      <c r="E20" s="9">
        <v>0.75</v>
      </c>
      <c r="F20" s="9">
        <f t="shared" si="0"/>
        <v>0.75</v>
      </c>
      <c r="G20" s="9" t="s">
        <v>65</v>
      </c>
    </row>
    <row r="21" spans="2:7" ht="30" x14ac:dyDescent="0.3">
      <c r="B21" s="6">
        <v>19</v>
      </c>
      <c r="C21" s="23" t="s">
        <v>8</v>
      </c>
      <c r="D21" s="9">
        <v>1</v>
      </c>
      <c r="E21" s="9" t="s">
        <v>67</v>
      </c>
      <c r="F21" s="9">
        <f>263.8+72</f>
        <v>335.8</v>
      </c>
      <c r="G21" s="6" t="s">
        <v>17</v>
      </c>
    </row>
    <row r="22" spans="2:7" ht="30" x14ac:dyDescent="0.3">
      <c r="B22" s="6">
        <v>20</v>
      </c>
      <c r="C22" s="23" t="s">
        <v>9</v>
      </c>
      <c r="D22" s="9">
        <v>1</v>
      </c>
      <c r="E22" s="9" t="s">
        <v>86</v>
      </c>
      <c r="F22" s="9">
        <f>260.8+66</f>
        <v>326.8</v>
      </c>
      <c r="G22" s="6" t="s">
        <v>18</v>
      </c>
    </row>
    <row r="23" spans="2:7" ht="30" x14ac:dyDescent="0.3">
      <c r="B23" s="6">
        <v>21</v>
      </c>
      <c r="C23" s="23" t="s">
        <v>10</v>
      </c>
      <c r="D23" s="9">
        <v>1</v>
      </c>
      <c r="E23" s="9" t="s">
        <v>85</v>
      </c>
      <c r="F23" s="9">
        <f>259.2+66</f>
        <v>325.2</v>
      </c>
      <c r="G23" s="6" t="s">
        <v>17</v>
      </c>
    </row>
    <row r="24" spans="2:7" ht="30" x14ac:dyDescent="0.3">
      <c r="B24" s="6">
        <v>22</v>
      </c>
      <c r="C24" s="23" t="s">
        <v>11</v>
      </c>
      <c r="D24" s="9">
        <v>1</v>
      </c>
      <c r="E24" s="9" t="s">
        <v>84</v>
      </c>
      <c r="F24" s="9">
        <f>243.6+60</f>
        <v>303.60000000000002</v>
      </c>
      <c r="G24" s="6" t="s">
        <v>17</v>
      </c>
    </row>
    <row r="25" spans="2:7" ht="30" x14ac:dyDescent="0.3">
      <c r="B25" s="6">
        <v>23</v>
      </c>
      <c r="C25" s="23" t="s">
        <v>12</v>
      </c>
      <c r="D25" s="9">
        <v>1</v>
      </c>
      <c r="E25" s="9" t="s">
        <v>108</v>
      </c>
      <c r="F25" s="9">
        <f>123.2+57</f>
        <v>180.2</v>
      </c>
      <c r="G25" s="6" t="s">
        <v>17</v>
      </c>
    </row>
    <row r="26" spans="2:7" ht="30" x14ac:dyDescent="0.3">
      <c r="B26" s="6">
        <v>24</v>
      </c>
      <c r="C26" s="23" t="s">
        <v>19</v>
      </c>
      <c r="D26" s="9">
        <v>1</v>
      </c>
      <c r="E26" s="9" t="s">
        <v>109</v>
      </c>
      <c r="F26" s="9">
        <f>96.9+30</f>
        <v>126.9</v>
      </c>
      <c r="G26" s="6" t="s">
        <v>17</v>
      </c>
    </row>
    <row r="27" spans="2:7" ht="30" x14ac:dyDescent="0.3">
      <c r="B27" s="6">
        <v>25</v>
      </c>
      <c r="C27" s="23" t="s">
        <v>13</v>
      </c>
      <c r="D27" s="9">
        <v>1</v>
      </c>
      <c r="E27" s="9" t="s">
        <v>110</v>
      </c>
      <c r="F27" s="9">
        <f>97.6+40</f>
        <v>137.6</v>
      </c>
      <c r="G27" s="6" t="s">
        <v>17</v>
      </c>
    </row>
    <row r="28" spans="2:7" ht="15" x14ac:dyDescent="0.3">
      <c r="B28" s="6">
        <v>26</v>
      </c>
      <c r="C28" s="23" t="s">
        <v>14</v>
      </c>
      <c r="D28" s="9">
        <v>1</v>
      </c>
      <c r="E28" s="9">
        <v>630</v>
      </c>
      <c r="F28" s="9">
        <f>D28*E28</f>
        <v>630</v>
      </c>
      <c r="G28" s="9" t="s">
        <v>65</v>
      </c>
    </row>
    <row r="29" spans="2:7" ht="15" hidden="1" x14ac:dyDescent="0.3">
      <c r="B29" s="6">
        <v>27</v>
      </c>
      <c r="C29" s="23" t="s">
        <v>15</v>
      </c>
      <c r="D29" s="9">
        <v>1</v>
      </c>
      <c r="E29" s="9">
        <v>1.8</v>
      </c>
      <c r="F29" s="9">
        <f>D29*E29</f>
        <v>1.8</v>
      </c>
      <c r="G29" s="9" t="s">
        <v>65</v>
      </c>
    </row>
    <row r="30" spans="2:7" ht="15" x14ac:dyDescent="0.3">
      <c r="B30" s="6">
        <v>28</v>
      </c>
      <c r="C30" s="23" t="s">
        <v>3</v>
      </c>
      <c r="D30" s="9">
        <v>1</v>
      </c>
      <c r="E30" s="9">
        <v>500</v>
      </c>
      <c r="F30" s="9">
        <f t="shared" ref="F30:F36" si="1">D30*E30</f>
        <v>500</v>
      </c>
      <c r="G30" s="9" t="s">
        <v>65</v>
      </c>
    </row>
    <row r="31" spans="2:7" ht="15" x14ac:dyDescent="0.3">
      <c r="B31" s="6">
        <v>29</v>
      </c>
      <c r="C31" s="23" t="s">
        <v>21</v>
      </c>
      <c r="D31" s="9">
        <v>1</v>
      </c>
      <c r="E31" s="9">
        <v>15.8</v>
      </c>
      <c r="F31" s="9">
        <f t="shared" si="1"/>
        <v>15.8</v>
      </c>
      <c r="G31" s="9" t="s">
        <v>65</v>
      </c>
    </row>
    <row r="32" spans="2:7" ht="15" x14ac:dyDescent="0.3">
      <c r="B32" s="6">
        <v>30</v>
      </c>
      <c r="C32" s="23" t="s">
        <v>5</v>
      </c>
      <c r="D32" s="9">
        <v>1</v>
      </c>
      <c r="E32" s="9">
        <v>26</v>
      </c>
      <c r="F32" s="9">
        <f t="shared" si="1"/>
        <v>26</v>
      </c>
      <c r="G32" s="9" t="s">
        <v>65</v>
      </c>
    </row>
    <row r="33" spans="2:7" ht="15" x14ac:dyDescent="0.3">
      <c r="B33" s="6">
        <v>31</v>
      </c>
      <c r="C33" s="23" t="s">
        <v>22</v>
      </c>
      <c r="D33" s="9">
        <v>1</v>
      </c>
      <c r="E33" s="9">
        <v>6</v>
      </c>
      <c r="F33" s="9">
        <f t="shared" si="1"/>
        <v>6</v>
      </c>
      <c r="G33" s="9" t="s">
        <v>65</v>
      </c>
    </row>
    <row r="34" spans="2:7" ht="15" x14ac:dyDescent="0.3">
      <c r="B34" s="6">
        <v>32</v>
      </c>
      <c r="C34" s="23" t="s">
        <v>23</v>
      </c>
      <c r="D34" s="9">
        <v>1</v>
      </c>
      <c r="E34" s="9">
        <v>4</v>
      </c>
      <c r="F34" s="9">
        <f t="shared" si="1"/>
        <v>4</v>
      </c>
      <c r="G34" s="9" t="s">
        <v>65</v>
      </c>
    </row>
    <row r="35" spans="2:7" ht="15" x14ac:dyDescent="0.3">
      <c r="B35" s="6">
        <v>33</v>
      </c>
      <c r="C35" s="23" t="s">
        <v>6</v>
      </c>
      <c r="D35" s="9">
        <v>1</v>
      </c>
      <c r="E35" s="9">
        <v>22</v>
      </c>
      <c r="F35" s="9">
        <f t="shared" si="1"/>
        <v>22</v>
      </c>
      <c r="G35" s="9" t="s">
        <v>65</v>
      </c>
    </row>
    <row r="36" spans="2:7" ht="15" x14ac:dyDescent="0.3">
      <c r="B36" s="6">
        <v>34</v>
      </c>
      <c r="C36" s="23" t="s">
        <v>68</v>
      </c>
      <c r="D36" s="9">
        <v>1</v>
      </c>
      <c r="E36" s="9">
        <v>18.5</v>
      </c>
      <c r="F36" s="9">
        <f t="shared" si="1"/>
        <v>18.5</v>
      </c>
      <c r="G36" s="9" t="s">
        <v>65</v>
      </c>
    </row>
    <row r="37" spans="2:7" ht="30" x14ac:dyDescent="0.3">
      <c r="B37" s="6">
        <v>35</v>
      </c>
      <c r="C37" s="23" t="s">
        <v>24</v>
      </c>
      <c r="D37" s="9">
        <v>1</v>
      </c>
      <c r="E37" s="9" t="s">
        <v>111</v>
      </c>
      <c r="F37" s="9">
        <f>81.6+43</f>
        <v>124.6</v>
      </c>
      <c r="G37" s="6" t="s">
        <v>16</v>
      </c>
    </row>
    <row r="38" spans="2:7" ht="30" x14ac:dyDescent="0.3">
      <c r="B38" s="6">
        <v>36</v>
      </c>
      <c r="C38" s="23" t="s">
        <v>25</v>
      </c>
      <c r="D38" s="9">
        <v>1</v>
      </c>
      <c r="E38" s="9" t="s">
        <v>112</v>
      </c>
      <c r="F38" s="9">
        <f>59.5+30</f>
        <v>89.5</v>
      </c>
      <c r="G38" s="6" t="s">
        <v>16</v>
      </c>
    </row>
    <row r="39" spans="2:7" ht="30" x14ac:dyDescent="0.3">
      <c r="B39" s="6">
        <v>37</v>
      </c>
      <c r="C39" s="23" t="s">
        <v>26</v>
      </c>
      <c r="D39" s="9">
        <v>1</v>
      </c>
      <c r="E39" s="9" t="s">
        <v>113</v>
      </c>
      <c r="F39" s="9">
        <f>8.1+43</f>
        <v>51.1</v>
      </c>
      <c r="G39" s="6" t="s">
        <v>16</v>
      </c>
    </row>
    <row r="40" spans="2:7" ht="15" x14ac:dyDescent="0.3">
      <c r="B40" s="6">
        <v>38</v>
      </c>
      <c r="C40" s="23" t="s">
        <v>27</v>
      </c>
      <c r="D40" s="9">
        <v>1</v>
      </c>
      <c r="E40" s="9">
        <v>157.30000000000001</v>
      </c>
      <c r="F40" s="9">
        <f>E40</f>
        <v>157.30000000000001</v>
      </c>
      <c r="G40" s="9" t="s">
        <v>16</v>
      </c>
    </row>
    <row r="41" spans="2:7" ht="15" x14ac:dyDescent="0.3">
      <c r="B41" s="6">
        <v>39</v>
      </c>
      <c r="C41" s="23" t="s">
        <v>28</v>
      </c>
      <c r="D41" s="9">
        <v>1</v>
      </c>
      <c r="E41" s="9">
        <v>102.2</v>
      </c>
      <c r="F41" s="9">
        <f>E41</f>
        <v>102.2</v>
      </c>
      <c r="G41" s="9"/>
    </row>
    <row r="42" spans="2:7" ht="30" x14ac:dyDescent="0.3">
      <c r="B42" s="6">
        <v>40</v>
      </c>
      <c r="C42" s="23" t="s">
        <v>29</v>
      </c>
      <c r="D42" s="9">
        <v>1</v>
      </c>
      <c r="E42" s="9" t="s">
        <v>114</v>
      </c>
      <c r="F42" s="9">
        <f>73.5+6</f>
        <v>79.5</v>
      </c>
      <c r="G42" s="9" t="s">
        <v>17</v>
      </c>
    </row>
    <row r="43" spans="2:7" ht="30" x14ac:dyDescent="0.3">
      <c r="B43" s="6">
        <v>41</v>
      </c>
      <c r="C43" s="23" t="s">
        <v>30</v>
      </c>
      <c r="D43" s="9">
        <v>1</v>
      </c>
      <c r="E43" s="9" t="s">
        <v>82</v>
      </c>
      <c r="F43" s="9">
        <f>9.5+17</f>
        <v>26.5</v>
      </c>
      <c r="G43" s="9" t="s">
        <v>16</v>
      </c>
    </row>
    <row r="44" spans="2:7" ht="30" x14ac:dyDescent="0.3">
      <c r="B44" s="6">
        <v>42</v>
      </c>
      <c r="C44" s="23" t="s">
        <v>30</v>
      </c>
      <c r="D44" s="9">
        <v>1</v>
      </c>
      <c r="E44" s="9" t="s">
        <v>115</v>
      </c>
      <c r="F44" s="9">
        <f>3.7+10</f>
        <v>13.7</v>
      </c>
      <c r="G44" s="9" t="s">
        <v>16</v>
      </c>
    </row>
    <row r="45" spans="2:7" ht="30" x14ac:dyDescent="0.3">
      <c r="B45" s="6">
        <v>43</v>
      </c>
      <c r="C45" s="23" t="s">
        <v>30</v>
      </c>
      <c r="D45" s="9">
        <v>1</v>
      </c>
      <c r="E45" s="9" t="s">
        <v>116</v>
      </c>
      <c r="F45" s="9">
        <f>7.5+17</f>
        <v>24.5</v>
      </c>
      <c r="G45" s="9" t="s">
        <v>16</v>
      </c>
    </row>
    <row r="46" spans="2:7" ht="15" x14ac:dyDescent="0.3">
      <c r="B46" s="6">
        <v>44</v>
      </c>
      <c r="C46" s="23" t="s">
        <v>31</v>
      </c>
      <c r="D46" s="9">
        <v>1</v>
      </c>
      <c r="E46" s="9">
        <v>3</v>
      </c>
      <c r="F46" s="9">
        <f>E46</f>
        <v>3</v>
      </c>
      <c r="G46" s="9" t="s">
        <v>65</v>
      </c>
    </row>
    <row r="47" spans="2:7" ht="15" x14ac:dyDescent="0.3">
      <c r="B47" s="6">
        <v>45</v>
      </c>
      <c r="C47" s="23" t="s">
        <v>31</v>
      </c>
      <c r="D47" s="9">
        <v>1</v>
      </c>
      <c r="E47" s="6">
        <v>5.5</v>
      </c>
      <c r="F47" s="9">
        <f t="shared" ref="F47" si="2">E47</f>
        <v>5.5</v>
      </c>
      <c r="G47" s="9" t="s">
        <v>65</v>
      </c>
    </row>
    <row r="48" spans="2:7" ht="15" x14ac:dyDescent="0.3">
      <c r="B48" s="6">
        <v>46</v>
      </c>
      <c r="C48" s="23" t="s">
        <v>5</v>
      </c>
      <c r="D48" s="9">
        <v>1</v>
      </c>
      <c r="E48" s="9">
        <v>45</v>
      </c>
      <c r="F48" s="9">
        <f t="shared" ref="F48:F61" si="3">D48*E48</f>
        <v>45</v>
      </c>
      <c r="G48" s="9" t="s">
        <v>65</v>
      </c>
    </row>
    <row r="49" spans="2:7" ht="15" x14ac:dyDescent="0.3">
      <c r="B49" s="6">
        <v>47</v>
      </c>
      <c r="C49" s="23" t="s">
        <v>5</v>
      </c>
      <c r="D49" s="9">
        <v>1</v>
      </c>
      <c r="E49" s="9">
        <v>43.5</v>
      </c>
      <c r="F49" s="9">
        <f t="shared" si="3"/>
        <v>43.5</v>
      </c>
      <c r="G49" s="9" t="s">
        <v>65</v>
      </c>
    </row>
    <row r="50" spans="2:7" ht="15" x14ac:dyDescent="0.3">
      <c r="B50" s="6">
        <v>48</v>
      </c>
      <c r="C50" s="23" t="s">
        <v>33</v>
      </c>
      <c r="D50" s="9">
        <v>1</v>
      </c>
      <c r="E50" s="9">
        <v>4</v>
      </c>
      <c r="F50" s="9">
        <f t="shared" si="3"/>
        <v>4</v>
      </c>
      <c r="G50" s="9" t="s">
        <v>65</v>
      </c>
    </row>
    <row r="51" spans="2:7" ht="15" x14ac:dyDescent="0.3">
      <c r="B51" s="6">
        <v>49</v>
      </c>
      <c r="C51" s="23" t="s">
        <v>34</v>
      </c>
      <c r="D51" s="9">
        <v>7</v>
      </c>
      <c r="E51" s="12">
        <v>2.2000000000000002</v>
      </c>
      <c r="F51" s="9">
        <f t="shared" si="3"/>
        <v>15.400000000000002</v>
      </c>
      <c r="G51" s="9" t="s">
        <v>65</v>
      </c>
    </row>
    <row r="52" spans="2:7" ht="15" x14ac:dyDescent="0.3">
      <c r="B52" s="6">
        <v>50</v>
      </c>
      <c r="C52" s="23" t="s">
        <v>35</v>
      </c>
      <c r="D52" s="9">
        <v>1</v>
      </c>
      <c r="E52" s="9">
        <v>91.1</v>
      </c>
      <c r="F52" s="9">
        <f t="shared" si="3"/>
        <v>91.1</v>
      </c>
      <c r="G52" s="9" t="s">
        <v>65</v>
      </c>
    </row>
    <row r="53" spans="2:7" ht="15" x14ac:dyDescent="0.3">
      <c r="B53" s="6">
        <v>51</v>
      </c>
      <c r="C53" s="23" t="s">
        <v>36</v>
      </c>
      <c r="D53" s="9">
        <v>1</v>
      </c>
      <c r="E53" s="9">
        <v>75.099999999999994</v>
      </c>
      <c r="F53" s="9">
        <f t="shared" si="3"/>
        <v>75.099999999999994</v>
      </c>
      <c r="G53" s="9" t="s">
        <v>65</v>
      </c>
    </row>
    <row r="54" spans="2:7" ht="15" x14ac:dyDescent="0.3">
      <c r="B54" s="6">
        <v>52</v>
      </c>
      <c r="C54" s="23" t="s">
        <v>36</v>
      </c>
      <c r="D54" s="9">
        <v>1</v>
      </c>
      <c r="E54" s="9">
        <v>75.7</v>
      </c>
      <c r="F54" s="9">
        <f t="shared" si="3"/>
        <v>75.7</v>
      </c>
      <c r="G54" s="9" t="s">
        <v>65</v>
      </c>
    </row>
    <row r="55" spans="2:7" ht="30" x14ac:dyDescent="0.3">
      <c r="B55" s="6">
        <v>53</v>
      </c>
      <c r="C55" s="23" t="s">
        <v>37</v>
      </c>
      <c r="D55" s="9">
        <v>2</v>
      </c>
      <c r="E55" s="9">
        <v>61.48</v>
      </c>
      <c r="F55" s="9">
        <f t="shared" si="3"/>
        <v>122.96</v>
      </c>
      <c r="G55" s="9" t="s">
        <v>65</v>
      </c>
    </row>
    <row r="56" spans="2:7" ht="15" x14ac:dyDescent="0.3">
      <c r="B56" s="6">
        <v>54</v>
      </c>
      <c r="C56" s="23" t="s">
        <v>38</v>
      </c>
      <c r="D56" s="9">
        <v>2</v>
      </c>
      <c r="E56" s="9">
        <v>68</v>
      </c>
      <c r="F56" s="9">
        <f t="shared" si="3"/>
        <v>136</v>
      </c>
      <c r="G56" s="9" t="s">
        <v>65</v>
      </c>
    </row>
    <row r="57" spans="2:7" ht="15" x14ac:dyDescent="0.3">
      <c r="B57" s="6">
        <v>55</v>
      </c>
      <c r="C57" s="23" t="s">
        <v>39</v>
      </c>
      <c r="D57" s="9">
        <v>3</v>
      </c>
      <c r="E57" s="9">
        <v>59.2</v>
      </c>
      <c r="F57" s="9">
        <f t="shared" si="3"/>
        <v>177.60000000000002</v>
      </c>
      <c r="G57" s="9" t="s">
        <v>65</v>
      </c>
    </row>
    <row r="58" spans="2:7" ht="15" x14ac:dyDescent="0.3">
      <c r="B58" s="6">
        <v>56</v>
      </c>
      <c r="C58" s="23" t="s">
        <v>40</v>
      </c>
      <c r="D58" s="9">
        <v>4</v>
      </c>
      <c r="E58" s="9">
        <v>48.5</v>
      </c>
      <c r="F58" s="9">
        <f t="shared" si="3"/>
        <v>194</v>
      </c>
      <c r="G58" s="9" t="s">
        <v>65</v>
      </c>
    </row>
    <row r="59" spans="2:7" ht="30" x14ac:dyDescent="0.3">
      <c r="B59" s="6">
        <v>57</v>
      </c>
      <c r="C59" s="23" t="s">
        <v>41</v>
      </c>
      <c r="D59" s="9">
        <v>2</v>
      </c>
      <c r="E59" s="9">
        <v>38.25</v>
      </c>
      <c r="F59" s="9">
        <f t="shared" si="3"/>
        <v>76.5</v>
      </c>
      <c r="G59" s="9" t="s">
        <v>65</v>
      </c>
    </row>
    <row r="60" spans="2:7" ht="15" x14ac:dyDescent="0.3">
      <c r="B60" s="6">
        <v>58</v>
      </c>
      <c r="C60" s="23" t="s">
        <v>42</v>
      </c>
      <c r="D60" s="9">
        <v>2</v>
      </c>
      <c r="E60" s="9">
        <v>66.25</v>
      </c>
      <c r="F60" s="9">
        <f t="shared" si="3"/>
        <v>132.5</v>
      </c>
      <c r="G60" s="9" t="s">
        <v>65</v>
      </c>
    </row>
    <row r="61" spans="2:7" ht="15" x14ac:dyDescent="0.3">
      <c r="B61" s="6">
        <v>59</v>
      </c>
      <c r="C61" s="23" t="s">
        <v>43</v>
      </c>
      <c r="D61" s="9">
        <v>1</v>
      </c>
      <c r="E61" s="9">
        <v>56.3</v>
      </c>
      <c r="F61" s="9">
        <f t="shared" si="3"/>
        <v>56.3</v>
      </c>
      <c r="G61" s="9" t="s">
        <v>65</v>
      </c>
    </row>
    <row r="62" spans="2:7" ht="30" x14ac:dyDescent="0.3">
      <c r="B62" s="6">
        <v>60</v>
      </c>
      <c r="C62" s="23" t="s">
        <v>45</v>
      </c>
      <c r="D62" s="9">
        <v>1</v>
      </c>
      <c r="E62" s="9" t="s">
        <v>105</v>
      </c>
      <c r="F62" s="9">
        <f>65.15+27</f>
        <v>92.15</v>
      </c>
      <c r="G62" s="6" t="s">
        <v>16</v>
      </c>
    </row>
    <row r="63" spans="2:7" ht="30" x14ac:dyDescent="0.3">
      <c r="B63" s="6">
        <v>61</v>
      </c>
      <c r="C63" s="23" t="s">
        <v>45</v>
      </c>
      <c r="D63" s="9">
        <v>1</v>
      </c>
      <c r="E63" s="9" t="s">
        <v>64</v>
      </c>
      <c r="F63" s="9">
        <f>66.6+48</f>
        <v>114.6</v>
      </c>
      <c r="G63" s="6" t="s">
        <v>16</v>
      </c>
    </row>
    <row r="64" spans="2:7" ht="30" x14ac:dyDescent="0.3">
      <c r="B64" s="6">
        <v>62</v>
      </c>
      <c r="C64" s="23" t="s">
        <v>46</v>
      </c>
      <c r="D64" s="9">
        <v>1</v>
      </c>
      <c r="E64" s="9" t="s">
        <v>117</v>
      </c>
      <c r="F64" s="9">
        <f>144.7+12</f>
        <v>156.69999999999999</v>
      </c>
      <c r="G64" s="6" t="s">
        <v>16</v>
      </c>
    </row>
    <row r="65" spans="2:7" ht="15" x14ac:dyDescent="0.3">
      <c r="B65" s="6">
        <v>63</v>
      </c>
      <c r="C65" s="23" t="s">
        <v>47</v>
      </c>
      <c r="D65" s="9">
        <v>1</v>
      </c>
      <c r="E65" s="9">
        <v>157.44999999999999</v>
      </c>
      <c r="F65" s="9">
        <f>D65*E65</f>
        <v>157.44999999999999</v>
      </c>
      <c r="G65" s="6" t="s">
        <v>16</v>
      </c>
    </row>
    <row r="66" spans="2:7" ht="15" x14ac:dyDescent="0.3">
      <c r="B66" s="6">
        <v>64</v>
      </c>
      <c r="C66" s="23" t="s">
        <v>79</v>
      </c>
      <c r="D66" s="9">
        <v>1</v>
      </c>
      <c r="E66" s="9">
        <v>39</v>
      </c>
      <c r="F66" s="9">
        <f t="shared" ref="F66:F73" si="4">D66*E66</f>
        <v>39</v>
      </c>
      <c r="G66" s="6" t="s">
        <v>16</v>
      </c>
    </row>
    <row r="67" spans="2:7" ht="15" x14ac:dyDescent="0.3">
      <c r="B67" s="6">
        <v>65</v>
      </c>
      <c r="C67" s="23" t="s">
        <v>48</v>
      </c>
      <c r="D67" s="9">
        <v>1</v>
      </c>
      <c r="E67" s="9">
        <v>89.5</v>
      </c>
      <c r="F67" s="9">
        <f t="shared" si="4"/>
        <v>89.5</v>
      </c>
      <c r="G67" s="9" t="s">
        <v>16</v>
      </c>
    </row>
    <row r="68" spans="2:7" ht="15" x14ac:dyDescent="0.3">
      <c r="B68" s="6">
        <v>66</v>
      </c>
      <c r="C68" s="23" t="s">
        <v>29</v>
      </c>
      <c r="D68" s="9">
        <v>1</v>
      </c>
      <c r="E68" s="9">
        <v>55</v>
      </c>
      <c r="F68" s="9">
        <f t="shared" si="4"/>
        <v>55</v>
      </c>
      <c r="G68" s="9" t="s">
        <v>16</v>
      </c>
    </row>
    <row r="69" spans="2:7" ht="15" x14ac:dyDescent="0.3">
      <c r="B69" s="6">
        <v>67</v>
      </c>
      <c r="C69" s="23" t="s">
        <v>49</v>
      </c>
      <c r="D69" s="9">
        <v>1</v>
      </c>
      <c r="E69" s="9">
        <v>136.4</v>
      </c>
      <c r="F69" s="9">
        <f t="shared" si="4"/>
        <v>136.4</v>
      </c>
      <c r="G69" s="9" t="s">
        <v>65</v>
      </c>
    </row>
    <row r="70" spans="2:7" ht="15" x14ac:dyDescent="0.3">
      <c r="B70" s="6">
        <v>68</v>
      </c>
      <c r="C70" s="23" t="s">
        <v>21</v>
      </c>
      <c r="D70" s="9">
        <v>1</v>
      </c>
      <c r="E70" s="9">
        <v>2.2000000000000002</v>
      </c>
      <c r="F70" s="9">
        <f t="shared" si="4"/>
        <v>2.2000000000000002</v>
      </c>
      <c r="G70" s="9" t="s">
        <v>65</v>
      </c>
    </row>
    <row r="71" spans="2:7" ht="15" x14ac:dyDescent="0.3">
      <c r="B71" s="6">
        <v>69</v>
      </c>
      <c r="C71" s="23" t="s">
        <v>33</v>
      </c>
      <c r="D71" s="9">
        <v>1</v>
      </c>
      <c r="E71" s="9">
        <v>4</v>
      </c>
      <c r="F71" s="9">
        <f t="shared" si="4"/>
        <v>4</v>
      </c>
      <c r="G71" s="9" t="s">
        <v>65</v>
      </c>
    </row>
    <row r="72" spans="2:7" ht="15" x14ac:dyDescent="0.3">
      <c r="B72" s="6">
        <v>70</v>
      </c>
      <c r="C72" s="23" t="s">
        <v>50</v>
      </c>
      <c r="D72" s="9">
        <v>1</v>
      </c>
      <c r="E72" s="9">
        <v>47</v>
      </c>
      <c r="F72" s="9">
        <f t="shared" si="4"/>
        <v>47</v>
      </c>
      <c r="G72" s="9" t="s">
        <v>65</v>
      </c>
    </row>
    <row r="73" spans="2:7" ht="15" x14ac:dyDescent="0.3">
      <c r="B73" s="6">
        <v>71</v>
      </c>
      <c r="C73" s="23" t="s">
        <v>51</v>
      </c>
      <c r="D73" s="9">
        <v>1</v>
      </c>
      <c r="E73" s="9">
        <v>45</v>
      </c>
      <c r="F73" s="9">
        <f t="shared" si="4"/>
        <v>45</v>
      </c>
      <c r="G73" s="9" t="s">
        <v>65</v>
      </c>
    </row>
    <row r="74" spans="2:7" ht="15" x14ac:dyDescent="0.3">
      <c r="B74" s="6">
        <v>72</v>
      </c>
      <c r="C74" s="23" t="s">
        <v>78</v>
      </c>
      <c r="D74" s="9">
        <v>1</v>
      </c>
      <c r="E74" s="9">
        <v>27</v>
      </c>
      <c r="F74" s="9">
        <f t="shared" ref="F74:F77" si="5">D74*E74</f>
        <v>27</v>
      </c>
      <c r="G74" s="13" t="s">
        <v>65</v>
      </c>
    </row>
    <row r="75" spans="2:7" ht="15" x14ac:dyDescent="0.3">
      <c r="B75" s="6">
        <v>73</v>
      </c>
      <c r="C75" s="23" t="s">
        <v>93</v>
      </c>
      <c r="D75" s="9">
        <v>1</v>
      </c>
      <c r="E75" s="9">
        <v>0.9</v>
      </c>
      <c r="F75" s="9">
        <f t="shared" si="5"/>
        <v>0.9</v>
      </c>
      <c r="G75" s="13" t="s">
        <v>65</v>
      </c>
    </row>
    <row r="76" spans="2:7" ht="15" x14ac:dyDescent="0.3">
      <c r="B76" s="6">
        <v>74</v>
      </c>
      <c r="C76" s="23" t="s">
        <v>75</v>
      </c>
      <c r="D76" s="9">
        <v>1</v>
      </c>
      <c r="E76" s="9">
        <v>5</v>
      </c>
      <c r="F76" s="9">
        <f t="shared" si="5"/>
        <v>5</v>
      </c>
      <c r="G76" s="13" t="s">
        <v>65</v>
      </c>
    </row>
    <row r="77" spans="2:7" ht="15" x14ac:dyDescent="0.3">
      <c r="B77" s="6">
        <v>75</v>
      </c>
      <c r="C77" s="23" t="s">
        <v>76</v>
      </c>
      <c r="D77" s="9">
        <v>1</v>
      </c>
      <c r="E77" s="9">
        <v>1</v>
      </c>
      <c r="F77" s="9">
        <f t="shared" si="5"/>
        <v>1</v>
      </c>
      <c r="G77" s="13" t="s">
        <v>65</v>
      </c>
    </row>
    <row r="78" spans="2:7" ht="15" x14ac:dyDescent="0.3">
      <c r="B78" s="6">
        <v>76</v>
      </c>
      <c r="C78" s="23" t="s">
        <v>59</v>
      </c>
      <c r="D78" s="9">
        <v>10</v>
      </c>
      <c r="E78" s="9">
        <v>2.8</v>
      </c>
      <c r="F78" s="9">
        <f>E78*D78</f>
        <v>28</v>
      </c>
      <c r="G78" s="13" t="s">
        <v>65</v>
      </c>
    </row>
    <row r="79" spans="2:7" ht="15" x14ac:dyDescent="0.3">
      <c r="B79" s="6">
        <v>77</v>
      </c>
      <c r="C79" s="23" t="s">
        <v>21</v>
      </c>
      <c r="D79" s="9">
        <v>1</v>
      </c>
      <c r="E79" s="9">
        <v>0.75</v>
      </c>
      <c r="F79" s="9">
        <f t="shared" ref="F79:F81" si="6">E79*D79</f>
        <v>0.75</v>
      </c>
      <c r="G79" s="13" t="s">
        <v>65</v>
      </c>
    </row>
    <row r="80" spans="2:7" ht="15" x14ac:dyDescent="0.3">
      <c r="B80" s="6">
        <v>78</v>
      </c>
      <c r="C80" s="23" t="s">
        <v>60</v>
      </c>
      <c r="D80" s="9">
        <v>1</v>
      </c>
      <c r="E80" s="9">
        <v>1.5</v>
      </c>
      <c r="F80" s="9">
        <f t="shared" si="6"/>
        <v>1.5</v>
      </c>
      <c r="G80" s="13" t="s">
        <v>65</v>
      </c>
    </row>
    <row r="81" spans="2:7" ht="15" x14ac:dyDescent="0.3">
      <c r="B81" s="6">
        <v>79</v>
      </c>
      <c r="C81" s="23" t="s">
        <v>61</v>
      </c>
      <c r="D81" s="9">
        <v>1</v>
      </c>
      <c r="E81" s="9">
        <v>6.5</v>
      </c>
      <c r="F81" s="9">
        <f t="shared" si="6"/>
        <v>6.5</v>
      </c>
      <c r="G81" s="13" t="s">
        <v>65</v>
      </c>
    </row>
    <row r="82" spans="2:7" ht="15" x14ac:dyDescent="0.3">
      <c r="B82" s="6">
        <v>80</v>
      </c>
      <c r="C82" s="23" t="s">
        <v>23</v>
      </c>
      <c r="D82" s="9">
        <v>2</v>
      </c>
      <c r="E82" s="9">
        <v>3.3</v>
      </c>
      <c r="F82" s="9">
        <f>D82*E82</f>
        <v>6.6</v>
      </c>
      <c r="G82" s="13" t="s">
        <v>65</v>
      </c>
    </row>
    <row r="83" spans="2:7" ht="15" x14ac:dyDescent="0.3">
      <c r="B83" s="6">
        <v>81</v>
      </c>
      <c r="C83" s="23" t="s">
        <v>62</v>
      </c>
      <c r="D83" s="9">
        <v>1</v>
      </c>
      <c r="E83" s="9">
        <v>3.5</v>
      </c>
      <c r="F83" s="9">
        <f t="shared" ref="F83:F84" si="7">D83*E83</f>
        <v>3.5</v>
      </c>
      <c r="G83" s="13" t="s">
        <v>65</v>
      </c>
    </row>
    <row r="84" spans="2:7" ht="15" x14ac:dyDescent="0.3">
      <c r="B84" s="6">
        <v>82</v>
      </c>
      <c r="C84" s="23" t="s">
        <v>21</v>
      </c>
      <c r="D84" s="9">
        <v>2</v>
      </c>
      <c r="E84" s="9">
        <v>1.85</v>
      </c>
      <c r="F84" s="9">
        <f t="shared" si="7"/>
        <v>3.7</v>
      </c>
      <c r="G84" s="13" t="s">
        <v>65</v>
      </c>
    </row>
    <row r="85" spans="2:7" ht="15.6" x14ac:dyDescent="0.3">
      <c r="B85" s="25" t="s">
        <v>87</v>
      </c>
      <c r="C85" s="25"/>
      <c r="D85" s="20">
        <f>SUM(D3:D84)</f>
        <v>116</v>
      </c>
      <c r="E85" s="21"/>
      <c r="F85" s="20">
        <f>SUM(F9:F84)</f>
        <v>6084.3099999999995</v>
      </c>
      <c r="G85" s="21"/>
    </row>
  </sheetData>
  <mergeCells count="1">
    <mergeCell ref="B85:C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2025-08-04T05:50:45Z</cp:lastPrinted>
  <dcterms:created xsi:type="dcterms:W3CDTF">2025-07-31T09:49:57Z</dcterms:created>
  <dcterms:modified xsi:type="dcterms:W3CDTF">2025-11-02T02:48:55Z</dcterms:modified>
</cp:coreProperties>
</file>