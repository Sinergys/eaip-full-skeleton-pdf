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as" sheetId="2" state="visible" r:id="rId2"/>
    <sheet xmlns:r="http://schemas.openxmlformats.org/officeDocument/2006/relationships" name="Electricity" sheetId="3" state="visible" r:id="rId3"/>
    <sheet xmlns:r="http://schemas.openxmlformats.org/officeDocument/2006/relationships" name="Analytics" sheetId="4" state="visible" r:id="rId4"/>
    <sheet xmlns:r="http://schemas.openxmlformats.org/officeDocument/2006/relationships" name="Equipment" sheetId="5" state="visible" r:id="rId5"/>
    <sheet xmlns:r="http://schemas.openxmlformats.org/officeDocument/2006/relationships" name="02_Исходные данные" sheetId="6" state="visible" r:id="rId6"/>
    <sheet xmlns:r="http://schemas.openxmlformats.org/officeDocument/2006/relationships" name="08_Потери_электроэнергии" sheetId="7" state="visible" r:id="rId7"/>
    <sheet xmlns:r="http://schemas.openxmlformats.org/officeDocument/2006/relationships" name="Balans" sheetId="8" state="visible" r:id="rId8"/>
    <sheet xmlns:r="http://schemas.openxmlformats.org/officeDocument/2006/relationships" name="Dinamika sr" sheetId="9" state="visible" r:id="rId9"/>
    <sheet xmlns:r="http://schemas.openxmlformats.org/officeDocument/2006/relationships" name="Meropriyatiya" sheetId="10" state="visible" r:id="rId10"/>
  </sheets>
  <definedNames>
    <definedName name="Gas_FactVolume">'Gas'!$C$3:$C$14</definedName>
    <definedName name="Electricity_FactVolume">'Electricity'!$C$3:$C$14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Gas: Фактическое потребление (м3)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'Gas'!$A$3:$A$14</f>
            </numRef>
          </cat>
          <val>
            <numRef>
              <f>'Gas'!$C$3:$C$14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м3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Electricity: Фактическое потребление (м3)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'Electricity'!C2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'Electricity'!$A$3:$A$14</f>
            </numRef>
          </cat>
          <val>
            <numRef>
              <f>'Electricity'!$C$3:$C$14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м3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t="inlineStr">
        <is>
          <t>Энергопаспорт предприятия</t>
        </is>
      </c>
    </row>
    <row r="2">
      <c r="A2" t="inlineStr">
        <is>
          <t>Предприятие:</t>
        </is>
      </c>
      <c r="B2" t="inlineStr">
        <is>
          <t>{{enterprise.name}}</t>
        </is>
      </c>
    </row>
    <row r="3">
      <c r="A3" t="inlineStr">
        <is>
          <t>ИНН:</t>
        </is>
      </c>
      <c r="B3" t="inlineStr">
        <is>
          <t>{{enterprise.tax_id}}</t>
        </is>
      </c>
    </row>
    <row r="4">
      <c r="A4" t="inlineStr">
        <is>
          <t>Период отчёта (с):</t>
        </is>
      </c>
      <c r="B4" t="inlineStr">
        <is>
          <t>{{period.start}}</t>
        </is>
      </c>
    </row>
    <row r="5">
      <c r="A5" t="inlineStr">
        <is>
          <t>Период отчёта (по):</t>
        </is>
      </c>
      <c r="B5" t="inlineStr">
        <is>
          <t>{{period.end}}</t>
        </is>
      </c>
    </row>
    <row r="7">
      <c r="A7" t="inlineStr">
        <is>
          <t>Ответственный за заполнение:</t>
        </is>
      </c>
      <c r="B7" t="inlineStr">
        <is>
          <t>{{responsible.full_name}}</t>
        </is>
      </c>
    </row>
    <row r="8">
      <c r="A8" t="inlineStr">
        <is>
          <t>Контактный телефон:</t>
        </is>
      </c>
      <c r="B8" t="inlineStr">
        <is>
          <t>{{responsible.phone}}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{{meta.year}}</t>
        </is>
      </c>
    </row>
    <row r="2">
      <c r="A2" t="inlineStr">
        <is>
          <t>Месяц</t>
        </is>
      </c>
      <c r="B2" t="inlineStr">
        <is>
          <t>Факт, сум</t>
        </is>
      </c>
      <c r="C2" t="inlineStr">
        <is>
          <t>Факт, м3</t>
        </is>
      </c>
      <c r="D2" t="inlineStr">
        <is>
          <t>Норматив, сум</t>
        </is>
      </c>
      <c r="E2" t="inlineStr">
        <is>
          <t>Норматив, м3</t>
        </is>
      </c>
    </row>
    <row r="3">
      <c r="A3" t="inlineStr">
        <is>
          <t>Январь</t>
        </is>
      </c>
      <c r="B3" t="inlineStr">
        <is>
          <t>{{data.fact_sum}}</t>
        </is>
      </c>
      <c r="C3" t="inlineStr">
        <is>
          <t>{{data.fact_volume}}</t>
        </is>
      </c>
      <c r="D3" t="inlineStr">
        <is>
          <t>{{data.norm_sum}}</t>
        </is>
      </c>
      <c r="E3" t="inlineStr">
        <is>
          <t>{{data.norm_volume}}</t>
        </is>
      </c>
    </row>
    <row r="4">
      <c r="A4" t="inlineStr">
        <is>
          <t>Февраль</t>
        </is>
      </c>
      <c r="B4" t="inlineStr">
        <is>
          <t>{{data.fact_sum}}</t>
        </is>
      </c>
      <c r="C4" t="inlineStr">
        <is>
          <t>{{data.fact_volume}}</t>
        </is>
      </c>
      <c r="D4" t="inlineStr">
        <is>
          <t>{{data.norm_sum}}</t>
        </is>
      </c>
      <c r="E4" t="inlineStr">
        <is>
          <t>{{data.norm_volume}}</t>
        </is>
      </c>
    </row>
    <row r="5">
      <c r="A5" t="inlineStr">
        <is>
          <t>Март</t>
        </is>
      </c>
      <c r="B5" t="inlineStr">
        <is>
          <t>{{data.fact_sum}}</t>
        </is>
      </c>
      <c r="C5" t="inlineStr">
        <is>
          <t>{{data.fact_volume}}</t>
        </is>
      </c>
      <c r="D5" t="inlineStr">
        <is>
          <t>{{data.norm_sum}}</t>
        </is>
      </c>
      <c r="E5" t="inlineStr">
        <is>
          <t>{{data.norm_volume}}</t>
        </is>
      </c>
    </row>
    <row r="6">
      <c r="A6" t="inlineStr">
        <is>
          <t>Апрель</t>
        </is>
      </c>
      <c r="B6" t="inlineStr">
        <is>
          <t>{{data.fact_sum}}</t>
        </is>
      </c>
      <c r="C6" t="inlineStr">
        <is>
          <t>{{data.fact_volume}}</t>
        </is>
      </c>
      <c r="D6" t="inlineStr">
        <is>
          <t>{{data.norm_sum}}</t>
        </is>
      </c>
      <c r="E6" t="inlineStr">
        <is>
          <t>{{data.norm_volume}}</t>
        </is>
      </c>
    </row>
    <row r="7">
      <c r="A7" t="inlineStr">
        <is>
          <t>Май</t>
        </is>
      </c>
      <c r="B7" t="inlineStr">
        <is>
          <t>{{data.fact_sum}}</t>
        </is>
      </c>
      <c r="C7" t="inlineStr">
        <is>
          <t>{{data.fact_volume}}</t>
        </is>
      </c>
      <c r="D7" t="inlineStr">
        <is>
          <t>{{data.norm_sum}}</t>
        </is>
      </c>
      <c r="E7" t="inlineStr">
        <is>
          <t>{{data.norm_volume}}</t>
        </is>
      </c>
    </row>
    <row r="8">
      <c r="A8" t="inlineStr">
        <is>
          <t>Июнь</t>
        </is>
      </c>
      <c r="B8" t="inlineStr">
        <is>
          <t>{{data.fact_sum}}</t>
        </is>
      </c>
      <c r="C8" t="inlineStr">
        <is>
          <t>{{data.fact_volume}}</t>
        </is>
      </c>
      <c r="D8" t="inlineStr">
        <is>
          <t>{{data.norm_sum}}</t>
        </is>
      </c>
      <c r="E8" t="inlineStr">
        <is>
          <t>{{data.norm_volume}}</t>
        </is>
      </c>
    </row>
    <row r="9">
      <c r="A9" t="inlineStr">
        <is>
          <t>Июль</t>
        </is>
      </c>
      <c r="B9" t="inlineStr">
        <is>
          <t>{{data.fact_sum}}</t>
        </is>
      </c>
      <c r="C9" t="inlineStr">
        <is>
          <t>{{data.fact_volume}}</t>
        </is>
      </c>
      <c r="D9" t="inlineStr">
        <is>
          <t>{{data.norm_sum}}</t>
        </is>
      </c>
      <c r="E9" t="inlineStr">
        <is>
          <t>{{data.norm_volume}}</t>
        </is>
      </c>
    </row>
    <row r="10">
      <c r="A10" t="inlineStr">
        <is>
          <t>Август</t>
        </is>
      </c>
      <c r="B10" t="inlineStr">
        <is>
          <t>{{data.fact_sum}}</t>
        </is>
      </c>
      <c r="C10" t="inlineStr">
        <is>
          <t>{{data.fact_volume}}</t>
        </is>
      </c>
      <c r="D10" t="inlineStr">
        <is>
          <t>{{data.norm_sum}}</t>
        </is>
      </c>
      <c r="E10" t="inlineStr">
        <is>
          <t>{{data.norm_volume}}</t>
        </is>
      </c>
    </row>
    <row r="11">
      <c r="A11" t="inlineStr">
        <is>
          <t>Сентябрь</t>
        </is>
      </c>
      <c r="B11" t="inlineStr">
        <is>
          <t>{{data.fact_sum}}</t>
        </is>
      </c>
      <c r="C11" t="inlineStr">
        <is>
          <t>{{data.fact_volume}}</t>
        </is>
      </c>
      <c r="D11" t="inlineStr">
        <is>
          <t>{{data.norm_sum}}</t>
        </is>
      </c>
      <c r="E11" t="inlineStr">
        <is>
          <t>{{data.norm_volume}}</t>
        </is>
      </c>
    </row>
    <row r="12">
      <c r="A12" t="inlineStr">
        <is>
          <t>Октябрь</t>
        </is>
      </c>
      <c r="B12" t="inlineStr">
        <is>
          <t>{{data.fact_sum}}</t>
        </is>
      </c>
      <c r="C12" t="inlineStr">
        <is>
          <t>{{data.fact_volume}}</t>
        </is>
      </c>
      <c r="D12" t="inlineStr">
        <is>
          <t>{{data.norm_sum}}</t>
        </is>
      </c>
      <c r="E12" t="inlineStr">
        <is>
          <t>{{data.norm_volume}}</t>
        </is>
      </c>
    </row>
    <row r="13">
      <c r="A13" t="inlineStr">
        <is>
          <t>Ноябрь</t>
        </is>
      </c>
      <c r="B13" t="inlineStr">
        <is>
          <t>{{data.fact_sum}}</t>
        </is>
      </c>
      <c r="C13" t="inlineStr">
        <is>
          <t>{{data.fact_volume}}</t>
        </is>
      </c>
      <c r="D13" t="inlineStr">
        <is>
          <t>{{data.norm_sum}}</t>
        </is>
      </c>
      <c r="E13" t="inlineStr">
        <is>
          <t>{{data.norm_volume}}</t>
        </is>
      </c>
    </row>
    <row r="14">
      <c r="A14" t="inlineStr">
        <is>
          <t>Декабрь</t>
        </is>
      </c>
      <c r="B14" t="inlineStr">
        <is>
          <t>{{data.fact_sum}}</t>
        </is>
      </c>
      <c r="C14" t="inlineStr">
        <is>
          <t>{{data.fact_volume}}</t>
        </is>
      </c>
      <c r="D14" t="inlineStr">
        <is>
          <t>{{data.norm_sum}}</t>
        </is>
      </c>
      <c r="E14" t="inlineStr">
        <is>
          <t>{{data.norm_volume}}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{{meta.year}}</t>
        </is>
      </c>
    </row>
    <row r="2">
      <c r="A2" t="inlineStr">
        <is>
          <t>Месяц</t>
        </is>
      </c>
      <c r="B2" t="inlineStr">
        <is>
          <t>Факт, сум</t>
        </is>
      </c>
      <c r="C2" t="inlineStr">
        <is>
          <t>Факт, м3</t>
        </is>
      </c>
      <c r="D2" t="inlineStr">
        <is>
          <t>Норматив, сум</t>
        </is>
      </c>
      <c r="E2" t="inlineStr">
        <is>
          <t>Норматив, м3</t>
        </is>
      </c>
    </row>
    <row r="3">
      <c r="A3" t="inlineStr">
        <is>
          <t>Январь</t>
        </is>
      </c>
      <c r="B3" t="inlineStr">
        <is>
          <t>{{data.fact_sum}}</t>
        </is>
      </c>
      <c r="C3" t="inlineStr">
        <is>
          <t>{{data.fact_volume}}</t>
        </is>
      </c>
      <c r="D3" t="inlineStr">
        <is>
          <t>{{data.norm_sum}}</t>
        </is>
      </c>
      <c r="E3" t="inlineStr">
        <is>
          <t>{{data.norm_volume}}</t>
        </is>
      </c>
    </row>
    <row r="4">
      <c r="A4" t="inlineStr">
        <is>
          <t>Февраль</t>
        </is>
      </c>
      <c r="B4" t="inlineStr">
        <is>
          <t>{{data.fact_sum}}</t>
        </is>
      </c>
      <c r="C4" t="inlineStr">
        <is>
          <t>{{data.fact_volume}}</t>
        </is>
      </c>
      <c r="D4" t="inlineStr">
        <is>
          <t>{{data.norm_sum}}</t>
        </is>
      </c>
      <c r="E4" t="inlineStr">
        <is>
          <t>{{data.norm_volume}}</t>
        </is>
      </c>
    </row>
    <row r="5">
      <c r="A5" t="inlineStr">
        <is>
          <t>Март</t>
        </is>
      </c>
      <c r="B5" t="inlineStr">
        <is>
          <t>{{data.fact_sum}}</t>
        </is>
      </c>
      <c r="C5" t="inlineStr">
        <is>
          <t>{{data.fact_volume}}</t>
        </is>
      </c>
      <c r="D5" t="inlineStr">
        <is>
          <t>{{data.norm_sum}}</t>
        </is>
      </c>
      <c r="E5" t="inlineStr">
        <is>
          <t>{{data.norm_volume}}</t>
        </is>
      </c>
    </row>
    <row r="6">
      <c r="A6" t="inlineStr">
        <is>
          <t>Апрель</t>
        </is>
      </c>
      <c r="B6" t="inlineStr">
        <is>
          <t>{{data.fact_sum}}</t>
        </is>
      </c>
      <c r="C6" t="inlineStr">
        <is>
          <t>{{data.fact_volume}}</t>
        </is>
      </c>
      <c r="D6" t="inlineStr">
        <is>
          <t>{{data.norm_sum}}</t>
        </is>
      </c>
      <c r="E6" t="inlineStr">
        <is>
          <t>{{data.norm_volume}}</t>
        </is>
      </c>
    </row>
    <row r="7">
      <c r="A7" t="inlineStr">
        <is>
          <t>Май</t>
        </is>
      </c>
      <c r="B7" t="inlineStr">
        <is>
          <t>{{data.fact_sum}}</t>
        </is>
      </c>
      <c r="C7" t="inlineStr">
        <is>
          <t>{{data.fact_volume}}</t>
        </is>
      </c>
      <c r="D7" t="inlineStr">
        <is>
          <t>{{data.norm_sum}}</t>
        </is>
      </c>
      <c r="E7" t="inlineStr">
        <is>
          <t>{{data.norm_volume}}</t>
        </is>
      </c>
    </row>
    <row r="8">
      <c r="A8" t="inlineStr">
        <is>
          <t>Июнь</t>
        </is>
      </c>
      <c r="B8" t="inlineStr">
        <is>
          <t>{{data.fact_sum}}</t>
        </is>
      </c>
      <c r="C8" t="inlineStr">
        <is>
          <t>{{data.fact_volume}}</t>
        </is>
      </c>
      <c r="D8" t="inlineStr">
        <is>
          <t>{{data.norm_sum}}</t>
        </is>
      </c>
      <c r="E8" t="inlineStr">
        <is>
          <t>{{data.norm_volume}}</t>
        </is>
      </c>
    </row>
    <row r="9">
      <c r="A9" t="inlineStr">
        <is>
          <t>Июль</t>
        </is>
      </c>
      <c r="B9" t="inlineStr">
        <is>
          <t>{{data.fact_sum}}</t>
        </is>
      </c>
      <c r="C9" t="inlineStr">
        <is>
          <t>{{data.fact_volume}}</t>
        </is>
      </c>
      <c r="D9" t="inlineStr">
        <is>
          <t>{{data.norm_sum}}</t>
        </is>
      </c>
      <c r="E9" t="inlineStr">
        <is>
          <t>{{data.norm_volume}}</t>
        </is>
      </c>
    </row>
    <row r="10">
      <c r="A10" t="inlineStr">
        <is>
          <t>Август</t>
        </is>
      </c>
      <c r="B10" t="inlineStr">
        <is>
          <t>{{data.fact_sum}}</t>
        </is>
      </c>
      <c r="C10" t="inlineStr">
        <is>
          <t>{{data.fact_volume}}</t>
        </is>
      </c>
      <c r="D10" t="inlineStr">
        <is>
          <t>{{data.norm_sum}}</t>
        </is>
      </c>
      <c r="E10" t="inlineStr">
        <is>
          <t>{{data.norm_volume}}</t>
        </is>
      </c>
    </row>
    <row r="11">
      <c r="A11" t="inlineStr">
        <is>
          <t>Сентябрь</t>
        </is>
      </c>
      <c r="B11" t="inlineStr">
        <is>
          <t>{{data.fact_sum}}</t>
        </is>
      </c>
      <c r="C11" t="inlineStr">
        <is>
          <t>{{data.fact_volume}}</t>
        </is>
      </c>
      <c r="D11" t="inlineStr">
        <is>
          <t>{{data.norm_sum}}</t>
        </is>
      </c>
      <c r="E11" t="inlineStr">
        <is>
          <t>{{data.norm_volume}}</t>
        </is>
      </c>
    </row>
    <row r="12">
      <c r="A12" t="inlineStr">
        <is>
          <t>Октябрь</t>
        </is>
      </c>
      <c r="B12" t="inlineStr">
        <is>
          <t>{{data.fact_sum}}</t>
        </is>
      </c>
      <c r="C12" t="inlineStr">
        <is>
          <t>{{data.fact_volume}}</t>
        </is>
      </c>
      <c r="D12" t="inlineStr">
        <is>
          <t>{{data.norm_sum}}</t>
        </is>
      </c>
      <c r="E12" t="inlineStr">
        <is>
          <t>{{data.norm_volume}}</t>
        </is>
      </c>
    </row>
    <row r="13">
      <c r="A13" t="inlineStr">
        <is>
          <t>Ноябрь</t>
        </is>
      </c>
      <c r="B13" t="inlineStr">
        <is>
          <t>{{data.fact_sum}}</t>
        </is>
      </c>
      <c r="C13" t="inlineStr">
        <is>
          <t>{{data.fact_volume}}</t>
        </is>
      </c>
      <c r="D13" t="inlineStr">
        <is>
          <t>{{data.norm_sum}}</t>
        </is>
      </c>
      <c r="E13" t="inlineStr">
        <is>
          <t>{{data.norm_volume}}</t>
        </is>
      </c>
    </row>
    <row r="14">
      <c r="A14" t="inlineStr">
        <is>
          <t>Декабрь</t>
        </is>
      </c>
      <c r="B14" t="inlineStr">
        <is>
          <t>{{data.fact_sum}}</t>
        </is>
      </c>
      <c r="C14" t="inlineStr">
        <is>
          <t>{{data.fact_volume}}</t>
        </is>
      </c>
      <c r="D14" t="inlineStr">
        <is>
          <t>{{data.norm_sum}}</t>
        </is>
      </c>
      <c r="E14" t="inlineStr">
        <is>
          <t>{{data.norm_volume}}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24" customWidth="1" min="2" max="2"/>
    <col width="16" customWidth="1" min="3" max="3"/>
  </cols>
  <sheetData>
    <row r="1">
      <c r="A1" t="inlineStr">
        <is>
          <t>Ключевые показатели</t>
        </is>
      </c>
    </row>
    <row r="2">
      <c r="A2" t="inlineStr">
        <is>
          <t>Показатель</t>
        </is>
      </c>
      <c r="B2" t="inlineStr">
        <is>
          <t>Значение</t>
        </is>
      </c>
      <c r="C2" t="inlineStr">
        <is>
          <t>Источник</t>
        </is>
      </c>
    </row>
    <row r="3">
      <c r="A3" t="inlineStr">
        <is>
          <t>Годовое потребление газа, м3</t>
        </is>
      </c>
      <c r="B3" t="inlineStr">
        <is>
          <t>{{analytics.gas.total_volume}}</t>
        </is>
      </c>
      <c r="C3" t="inlineStr">
        <is>
          <t>Газ</t>
        </is>
      </c>
    </row>
    <row r="4">
      <c r="A4" t="inlineStr">
        <is>
          <t>Годовое потребление электроэнергии, кВт·ч</t>
        </is>
      </c>
      <c r="B4" t="inlineStr">
        <is>
          <t>{{analytics.power.total_volume}}</t>
        </is>
      </c>
      <c r="C4" t="inlineStr">
        <is>
          <t>Electricity</t>
        </is>
      </c>
    </row>
    <row r="5">
      <c r="A5" t="inlineStr">
        <is>
          <t>Отклонение от норматива, %</t>
        </is>
      </c>
      <c r="B5" t="inlineStr">
        <is>
          <t>{{analytics.total.delta_pct}}</t>
        </is>
      </c>
      <c r="C5" t="inlineStr">
        <is>
          <t>Aggregated</t>
        </is>
      </c>
    </row>
    <row r="6">
      <c r="A6" t="inlineStr">
        <is>
          <t>Удельное потребление (газ), м3/продукция</t>
        </is>
      </c>
      <c r="B6" t="inlineStr">
        <is>
          <t>{{analytics.gas.specific_volume}}</t>
        </is>
      </c>
      <c r="C6" t="inlineStr">
        <is>
          <t>Расчёт</t>
        </is>
      </c>
    </row>
    <row r="7">
      <c r="A7" t="inlineStr">
        <is>
          <t>Удельное потребление (электроэнергия), кВт·ч/продукция</t>
        </is>
      </c>
      <c r="B7" t="inlineStr">
        <is>
          <t>{{analytics.power.specific_volume}}</t>
        </is>
      </c>
      <c r="C7" t="inlineStr">
        <is>
          <t>Расчёт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  <col width="4" customWidth="1" min="3" max="3"/>
    <col width="62" customWidth="1" min="4" max="4"/>
    <col width="12" customWidth="1" min="5" max="5"/>
    <col width="19" customWidth="1" min="6" max="6"/>
    <col width="25" customWidth="1" min="7" max="7"/>
    <col width="18" customWidth="1" min="8" max="8"/>
    <col width="16" customWidth="1" min="9" max="9"/>
  </cols>
  <sheetData>
    <row r="1">
      <c r="A1" t="inlineStr">
        <is>
          <t>Площадка</t>
        </is>
      </c>
      <c r="B1" t="inlineStr">
        <is>
          <t>Раздел</t>
        </is>
      </c>
      <c r="C1" t="inlineStr">
        <is>
          <t>№</t>
        </is>
      </c>
      <c r="D1" t="inlineStr">
        <is>
          <t>Оборудование</t>
        </is>
      </c>
      <c r="E1" t="inlineStr">
        <is>
          <t>Кол-во, шт</t>
        </is>
      </c>
      <c r="F1" t="inlineStr">
        <is>
          <t>Мощность ед., кВт</t>
        </is>
      </c>
      <c r="G1" t="inlineStr">
        <is>
          <t>Мощность суммарная, кВт</t>
        </is>
      </c>
      <c r="H1" t="inlineStr">
        <is>
          <t>Частотный привод</t>
        </is>
      </c>
      <c r="I1" t="inlineStr">
        <is>
          <t>Примечание</t>
        </is>
      </c>
    </row>
    <row r="2">
      <c r="A2" t="inlineStr">
        <is>
          <t>Лист1</t>
        </is>
      </c>
      <c r="B2" t="inlineStr">
        <is>
          <t>1. Цех по производству труб из полипропилена для холодного и горячего водоснабжения</t>
        </is>
      </c>
      <c r="C2" t="n">
        <v>1</v>
      </c>
      <c r="D2" t="inlineStr">
        <is>
          <t>Трансформатор 100 (ТП-1)</t>
        </is>
      </c>
      <c r="E2" t="n">
        <v>1</v>
      </c>
    </row>
    <row r="3">
      <c r="A3" t="inlineStr"/>
      <c r="B3" t="inlineStr"/>
      <c r="C3" t="n">
        <v>2</v>
      </c>
      <c r="D3" t="inlineStr">
        <is>
          <t>Стабилизатор 300</t>
        </is>
      </c>
      <c r="E3" t="n">
        <v>3</v>
      </c>
      <c r="H3" t="inlineStr">
        <is>
          <t>Нет</t>
        </is>
      </c>
    </row>
    <row r="4">
      <c r="A4" t="inlineStr"/>
      <c r="B4" t="inlineStr"/>
      <c r="C4" t="n">
        <v>3</v>
      </c>
      <c r="D4" t="inlineStr">
        <is>
          <t>Стабилизатор 150</t>
        </is>
      </c>
      <c r="E4" t="n">
        <v>1</v>
      </c>
      <c r="H4" t="inlineStr">
        <is>
          <t>Нет</t>
        </is>
      </c>
    </row>
    <row r="5">
      <c r="A5" t="inlineStr"/>
      <c r="B5" t="inlineStr"/>
      <c r="C5" t="n">
        <v>4</v>
      </c>
      <c r="D5" t="inlineStr">
        <is>
          <t>Конденсатор, компенсирующий 400 кВар</t>
        </is>
      </c>
      <c r="E5" t="n">
        <v>1</v>
      </c>
      <c r="H5" t="inlineStr">
        <is>
          <t>Нет</t>
        </is>
      </c>
    </row>
    <row r="6">
      <c r="A6" t="inlineStr"/>
      <c r="B6" t="inlineStr"/>
      <c r="C6" t="n">
        <v>5</v>
      </c>
      <c r="D6" t="inlineStr">
        <is>
          <t>Водяные насосы</t>
        </is>
      </c>
      <c r="E6" t="n">
        <v>2</v>
      </c>
      <c r="F6" t="n">
        <v>7.5</v>
      </c>
      <c r="G6" t="n">
        <v>15</v>
      </c>
      <c r="H6" t="inlineStr">
        <is>
          <t>Да</t>
        </is>
      </c>
    </row>
    <row r="7">
      <c r="A7" t="inlineStr"/>
      <c r="B7" t="inlineStr"/>
      <c r="C7" t="n">
        <v>6</v>
      </c>
      <c r="D7" t="inlineStr">
        <is>
          <t>Водяные насосы</t>
        </is>
      </c>
      <c r="E7" t="n">
        <v>1</v>
      </c>
      <c r="F7" t="n">
        <v>2.2</v>
      </c>
      <c r="G7" t="n">
        <v>2.2</v>
      </c>
      <c r="H7" t="inlineStr">
        <is>
          <t>Нет</t>
        </is>
      </c>
    </row>
    <row r="8">
      <c r="A8" t="inlineStr"/>
      <c r="B8" t="inlineStr"/>
      <c r="C8" t="n">
        <v>7</v>
      </c>
      <c r="D8" t="inlineStr">
        <is>
          <t>Чиллер</t>
        </is>
      </c>
      <c r="E8" t="n">
        <v>1</v>
      </c>
      <c r="F8" t="n">
        <v>92</v>
      </c>
      <c r="G8" t="n">
        <v>92</v>
      </c>
      <c r="H8" t="inlineStr">
        <is>
          <t>Да</t>
        </is>
      </c>
    </row>
    <row r="9">
      <c r="A9" t="inlineStr"/>
      <c r="B9" t="inlineStr"/>
      <c r="C9" t="n">
        <v>8</v>
      </c>
      <c r="D9" t="inlineStr">
        <is>
          <t>Компрессор резерв</t>
        </is>
      </c>
      <c r="E9" t="n">
        <v>2</v>
      </c>
      <c r="F9" t="n">
        <v>22</v>
      </c>
      <c r="G9" t="n">
        <v>44</v>
      </c>
      <c r="H9" t="inlineStr">
        <is>
          <t>Да</t>
        </is>
      </c>
    </row>
    <row r="10">
      <c r="A10" t="inlineStr"/>
      <c r="B10" t="inlineStr"/>
      <c r="C10" t="n">
        <v>9</v>
      </c>
      <c r="D10" t="inlineStr">
        <is>
          <t>Компрессор резерв</t>
        </is>
      </c>
      <c r="E10" t="n">
        <v>1</v>
      </c>
      <c r="F10" t="n">
        <v>7.5</v>
      </c>
      <c r="G10" t="n">
        <v>7.5</v>
      </c>
      <c r="H10" t="inlineStr">
        <is>
          <t>Нет</t>
        </is>
      </c>
    </row>
    <row r="11">
      <c r="A11" t="inlineStr"/>
      <c r="B11" t="inlineStr"/>
      <c r="C11" t="n">
        <v>10</v>
      </c>
      <c r="D11" t="inlineStr">
        <is>
          <t>Автоматическая пила</t>
        </is>
      </c>
      <c r="E11" t="n">
        <v>1</v>
      </c>
      <c r="F11" t="n">
        <v>3</v>
      </c>
      <c r="G11" t="n">
        <v>3</v>
      </c>
      <c r="H11" t="inlineStr">
        <is>
          <t>Нет</t>
        </is>
      </c>
    </row>
    <row r="12">
      <c r="A12" t="inlineStr"/>
      <c r="B12" t="inlineStr"/>
      <c r="C12" t="n">
        <v>11</v>
      </c>
      <c r="D12" t="inlineStr">
        <is>
          <t>Фильтр</t>
        </is>
      </c>
      <c r="E12" t="n">
        <v>1</v>
      </c>
      <c r="F12" t="n">
        <v>2.2</v>
      </c>
      <c r="G12" t="n">
        <v>2.2</v>
      </c>
      <c r="H12" t="inlineStr">
        <is>
          <t>Нет</t>
        </is>
      </c>
    </row>
    <row r="13">
      <c r="A13" t="inlineStr"/>
      <c r="B13" t="inlineStr"/>
      <c r="C13" t="n">
        <v>12</v>
      </c>
      <c r="D13" t="inlineStr">
        <is>
          <t>Фильтр</t>
        </is>
      </c>
      <c r="E13" t="n">
        <v>1</v>
      </c>
      <c r="F13" t="n">
        <v>1.5</v>
      </c>
      <c r="G13" t="n">
        <v>1.5</v>
      </c>
      <c r="H13" t="inlineStr">
        <is>
          <t>Нет</t>
        </is>
      </c>
    </row>
    <row r="14">
      <c r="A14" t="inlineStr"/>
      <c r="B14" t="inlineStr"/>
      <c r="C14" t="n">
        <v>13</v>
      </c>
      <c r="D14" t="inlineStr">
        <is>
          <t>Фильтр</t>
        </is>
      </c>
      <c r="E14" t="n">
        <v>1</v>
      </c>
      <c r="F14" t="n">
        <v>0.75</v>
      </c>
      <c r="G14" t="n">
        <v>0.75</v>
      </c>
      <c r="H14" t="inlineStr">
        <is>
          <t>Нет</t>
        </is>
      </c>
    </row>
    <row r="15">
      <c r="A15" t="inlineStr"/>
      <c r="B15" t="inlineStr"/>
      <c r="C15" t="n">
        <v>14</v>
      </c>
      <c r="D15" t="inlineStr">
        <is>
          <t>Линия по производству труб из полипропилена KONEX 1</t>
        </is>
      </c>
      <c r="E15" t="n">
        <v>1</v>
      </c>
      <c r="F15" t="n">
        <v>263.8</v>
      </c>
      <c r="G15" t="n">
        <v>335.8</v>
      </c>
      <c r="H15" t="inlineStr">
        <is>
          <t>Да</t>
        </is>
      </c>
      <c r="I15" t="inlineStr">
        <is>
          <t>263,8. ТЭН:72</t>
        </is>
      </c>
    </row>
    <row r="16">
      <c r="A16" t="inlineStr"/>
      <c r="B16" t="inlineStr"/>
      <c r="C16" t="n">
        <v>15</v>
      </c>
      <c r="D16" t="inlineStr">
        <is>
          <t>Линия по производству труб из полипропилена KONEX 2</t>
        </is>
      </c>
      <c r="E16" t="n">
        <v>1</v>
      </c>
      <c r="F16" t="n">
        <v>260.8</v>
      </c>
      <c r="G16" t="n">
        <v>326.8</v>
      </c>
      <c r="H16" t="inlineStr">
        <is>
          <t>Да</t>
        </is>
      </c>
      <c r="I16" t="inlineStr">
        <is>
          <t>260,8. ТЭН:66</t>
        </is>
      </c>
    </row>
    <row r="17">
      <c r="A17" t="inlineStr"/>
      <c r="B17" t="inlineStr"/>
      <c r="C17" t="n">
        <v>16</v>
      </c>
      <c r="D17" t="inlineStr">
        <is>
          <t>Линия по производству труб из полипропилена KONEX 3</t>
        </is>
      </c>
      <c r="E17" t="n">
        <v>1</v>
      </c>
      <c r="F17" t="n">
        <v>259.2</v>
      </c>
      <c r="G17" t="n">
        <v>325.2</v>
      </c>
      <c r="H17" t="inlineStr">
        <is>
          <t>Да</t>
        </is>
      </c>
      <c r="I17" t="inlineStr">
        <is>
          <t>259,2. ТЭН:66</t>
        </is>
      </c>
    </row>
    <row r="18">
      <c r="A18" t="inlineStr"/>
      <c r="B18" t="inlineStr"/>
      <c r="C18" t="n">
        <v>17</v>
      </c>
      <c r="D18" t="inlineStr">
        <is>
          <t>Линия по производству труб из полипропилена Микросан Фальга</t>
        </is>
      </c>
      <c r="E18" t="n">
        <v>1</v>
      </c>
      <c r="F18" t="n">
        <v>243.6</v>
      </c>
      <c r="G18" t="n">
        <v>303.6</v>
      </c>
      <c r="H18" t="inlineStr">
        <is>
          <t>Да</t>
        </is>
      </c>
      <c r="I18" t="inlineStr">
        <is>
          <t>243,6. ТЭН: 60</t>
        </is>
      </c>
    </row>
    <row r="19">
      <c r="A19" t="inlineStr"/>
      <c r="B19" t="inlineStr"/>
      <c r="C19" t="n">
        <v>18</v>
      </c>
      <c r="D19" t="inlineStr">
        <is>
          <t xml:space="preserve">Линия по производству труб из полипропилена </t>
        </is>
      </c>
      <c r="E19" t="n">
        <v>1</v>
      </c>
      <c r="F19" t="n">
        <v>123.2</v>
      </c>
      <c r="G19" t="n">
        <v>180.2</v>
      </c>
      <c r="H19" t="inlineStr">
        <is>
          <t>Да</t>
        </is>
      </c>
      <c r="I19" t="inlineStr">
        <is>
          <t>123,2 ТЭН: 57</t>
        </is>
      </c>
    </row>
    <row r="20">
      <c r="A20" t="inlineStr"/>
      <c r="B20" t="inlineStr"/>
      <c r="C20" t="n">
        <v>19</v>
      </c>
      <c r="D20" t="inlineStr">
        <is>
          <t>Линия по производству труб из полипропилена Куатро ПП2</t>
        </is>
      </c>
      <c r="E20" t="n">
        <v>1</v>
      </c>
      <c r="F20" t="n">
        <v>96.95</v>
      </c>
      <c r="G20" t="n">
        <v>126.9</v>
      </c>
      <c r="H20" t="inlineStr">
        <is>
          <t>Да</t>
        </is>
      </c>
      <c r="I20" t="inlineStr">
        <is>
          <t>96,95  ТЭН:30</t>
        </is>
      </c>
    </row>
    <row r="21">
      <c r="A21" t="inlineStr"/>
      <c r="B21" t="inlineStr"/>
      <c r="C21" t="n">
        <v>20</v>
      </c>
      <c r="D21" t="inlineStr">
        <is>
          <t>Линия по производству труб из полипропилена Китай</t>
        </is>
      </c>
      <c r="E21" t="n">
        <v>1</v>
      </c>
      <c r="F21" t="n">
        <v>97.59999999999999</v>
      </c>
      <c r="G21" t="n">
        <v>137.6</v>
      </c>
      <c r="H21" t="inlineStr">
        <is>
          <t>Да</t>
        </is>
      </c>
      <c r="I21" t="inlineStr">
        <is>
          <t>97,6, ТЭН:40</t>
        </is>
      </c>
    </row>
    <row r="22">
      <c r="A22" t="inlineStr"/>
      <c r="B22" t="inlineStr"/>
      <c r="C22" t="n">
        <v>21</v>
      </c>
      <c r="D22" t="inlineStr">
        <is>
          <t>Резервный генератор дизельный</t>
        </is>
      </c>
      <c r="E22" t="n">
        <v>1</v>
      </c>
      <c r="F22" t="n">
        <v>630</v>
      </c>
      <c r="G22" t="n">
        <v>630</v>
      </c>
      <c r="H22" t="inlineStr">
        <is>
          <t>Нет</t>
        </is>
      </c>
    </row>
    <row r="23">
      <c r="A23" t="inlineStr"/>
      <c r="B23" t="inlineStr"/>
      <c r="C23" t="n">
        <v>22</v>
      </c>
      <c r="D23" t="inlineStr">
        <is>
          <t>Освещение</t>
        </is>
      </c>
      <c r="E23" t="n">
        <v>1</v>
      </c>
      <c r="F23" t="n">
        <v>1.8</v>
      </c>
      <c r="G23" t="n">
        <v>1.8</v>
      </c>
      <c r="H23" t="inlineStr">
        <is>
          <t>Нет</t>
        </is>
      </c>
    </row>
    <row r="24">
      <c r="D24" t="inlineStr">
        <is>
          <t>Итого по разделу</t>
        </is>
      </c>
      <c r="E24" t="n">
        <v>26</v>
      </c>
      <c r="G24" t="n">
        <v>2536.05</v>
      </c>
      <c r="H24" t="n">
        <v>10</v>
      </c>
    </row>
    <row r="25"/>
    <row r="26">
      <c r="A26" t="inlineStr">
        <is>
          <t>Лист1</t>
        </is>
      </c>
      <c r="B26" t="inlineStr">
        <is>
          <t>2. Цех по производству труб из ПВХ для канализационных систем</t>
        </is>
      </c>
      <c r="C26" t="n">
        <v>1</v>
      </c>
      <c r="D26" t="inlineStr">
        <is>
          <t>Трансформатор 1000 (ТП-3)</t>
        </is>
      </c>
      <c r="E26" t="n">
        <v>1</v>
      </c>
      <c r="H26" t="inlineStr">
        <is>
          <t>Нет</t>
        </is>
      </c>
    </row>
    <row r="27">
      <c r="A27" t="inlineStr"/>
      <c r="B27" t="inlineStr"/>
      <c r="C27" t="n">
        <v>2</v>
      </c>
      <c r="D27" t="inlineStr">
        <is>
          <t>Конденсатор, компенсирующий 500 кВар</t>
        </is>
      </c>
      <c r="E27" t="n">
        <v>1</v>
      </c>
      <c r="H27" t="inlineStr">
        <is>
          <t>Нет</t>
        </is>
      </c>
    </row>
    <row r="28">
      <c r="A28" t="inlineStr"/>
      <c r="B28" t="inlineStr"/>
      <c r="C28" t="n">
        <v>3</v>
      </c>
      <c r="D28" t="inlineStr">
        <is>
          <t>Водяной насос</t>
        </is>
      </c>
      <c r="E28" t="n">
        <v>1</v>
      </c>
      <c r="F28" t="n">
        <v>15.8</v>
      </c>
      <c r="G28" t="n">
        <v>15.8</v>
      </c>
      <c r="H28" t="inlineStr">
        <is>
          <t>Нет</t>
        </is>
      </c>
    </row>
    <row r="29">
      <c r="A29" t="inlineStr"/>
      <c r="B29" t="inlineStr"/>
      <c r="C29" t="n">
        <v>4</v>
      </c>
      <c r="D29" t="inlineStr">
        <is>
          <t>Стабилизатор 300</t>
        </is>
      </c>
      <c r="E29" t="n">
        <v>1</v>
      </c>
    </row>
    <row r="30">
      <c r="A30" t="inlineStr"/>
      <c r="B30" t="inlineStr"/>
      <c r="C30" t="n">
        <v>5</v>
      </c>
      <c r="D30" t="inlineStr">
        <is>
          <t>Стабилизатор 200</t>
        </is>
      </c>
      <c r="E30" t="n">
        <v>2</v>
      </c>
    </row>
    <row r="31">
      <c r="A31" t="inlineStr"/>
      <c r="B31" t="inlineStr"/>
      <c r="C31" t="n">
        <v>6</v>
      </c>
      <c r="D31" t="inlineStr">
        <is>
          <t>Чиллер</t>
        </is>
      </c>
      <c r="E31" t="n">
        <v>1</v>
      </c>
      <c r="F31" t="n">
        <v>26</v>
      </c>
      <c r="G31" t="n">
        <v>26</v>
      </c>
      <c r="H31" t="inlineStr">
        <is>
          <t>Нет</t>
        </is>
      </c>
    </row>
    <row r="32">
      <c r="A32" t="inlineStr"/>
      <c r="B32" t="inlineStr"/>
      <c r="C32" t="n">
        <v>7</v>
      </c>
      <c r="D32" t="inlineStr">
        <is>
          <t xml:space="preserve">Градирни </t>
        </is>
      </c>
      <c r="E32" t="n">
        <v>1</v>
      </c>
      <c r="F32" t="n">
        <v>6</v>
      </c>
      <c r="G32" t="n">
        <v>6</v>
      </c>
      <c r="H32" t="inlineStr">
        <is>
          <t>Нет</t>
        </is>
      </c>
    </row>
    <row r="33">
      <c r="A33" t="inlineStr"/>
      <c r="B33" t="inlineStr"/>
      <c r="C33" t="n">
        <v>8</v>
      </c>
      <c r="D33" t="inlineStr">
        <is>
          <t>Вытяжка</t>
        </is>
      </c>
      <c r="E33" t="n">
        <v>1</v>
      </c>
      <c r="F33" t="n">
        <v>4</v>
      </c>
      <c r="G33" t="n">
        <v>4</v>
      </c>
      <c r="H33" t="inlineStr">
        <is>
          <t>Нет</t>
        </is>
      </c>
    </row>
    <row r="34">
      <c r="A34" t="inlineStr"/>
      <c r="B34" t="inlineStr"/>
      <c r="C34" t="n">
        <v>9</v>
      </c>
      <c r="D34" t="inlineStr">
        <is>
          <t xml:space="preserve">Компрессор </t>
        </is>
      </c>
      <c r="E34" t="n">
        <v>1</v>
      </c>
      <c r="F34" t="n">
        <v>22</v>
      </c>
      <c r="G34" t="n">
        <v>22</v>
      </c>
      <c r="H34" t="inlineStr">
        <is>
          <t>Нет</t>
        </is>
      </c>
    </row>
    <row r="35">
      <c r="A35" t="inlineStr"/>
      <c r="B35" t="inlineStr"/>
      <c r="C35" t="n">
        <v>10</v>
      </c>
      <c r="D35" t="inlineStr">
        <is>
          <t>Компрессор (резерв)</t>
        </is>
      </c>
      <c r="E35" t="n">
        <v>1</v>
      </c>
      <c r="F35" t="n">
        <v>18.5</v>
      </c>
      <c r="G35" t="n">
        <v>18.5</v>
      </c>
      <c r="H35" t="inlineStr">
        <is>
          <t>Нет</t>
        </is>
      </c>
    </row>
    <row r="36">
      <c r="A36" t="inlineStr"/>
      <c r="B36" t="inlineStr"/>
      <c r="C36" t="n">
        <v>11</v>
      </c>
      <c r="D36" t="inlineStr">
        <is>
          <t>Линия по производству труб из ПВХ KONEX</t>
        </is>
      </c>
      <c r="E36" t="n">
        <v>1</v>
      </c>
      <c r="F36" t="n">
        <v>81.7</v>
      </c>
      <c r="G36" t="n">
        <v>124.6</v>
      </c>
      <c r="H36" t="inlineStr">
        <is>
          <t>Да</t>
        </is>
      </c>
      <c r="I36" t="inlineStr">
        <is>
          <t>81,7, ТЭН: 43</t>
        </is>
      </c>
    </row>
    <row r="37">
      <c r="A37" t="inlineStr"/>
      <c r="B37" t="inlineStr"/>
      <c r="C37" t="n">
        <v>12</v>
      </c>
      <c r="D37" t="inlineStr">
        <is>
          <t>Линия по производству труб из ПВХ Микросан</t>
        </is>
      </c>
      <c r="E37" t="n">
        <v>1</v>
      </c>
      <c r="F37" t="n">
        <v>59.5</v>
      </c>
      <c r="G37" t="n">
        <v>89.5</v>
      </c>
      <c r="H37" t="inlineStr">
        <is>
          <t>Да</t>
        </is>
      </c>
      <c r="I37" t="inlineStr">
        <is>
          <t>59,5, ТЭН: 30</t>
        </is>
      </c>
    </row>
    <row r="38">
      <c r="A38" t="inlineStr"/>
      <c r="B38" t="inlineStr"/>
      <c r="C38" t="n">
        <v>13</v>
      </c>
      <c r="D38" t="inlineStr">
        <is>
          <t>Линия по производству труб из ПВХ Китай</t>
        </is>
      </c>
      <c r="E38" t="n">
        <v>1</v>
      </c>
      <c r="F38" t="n">
        <v>8.199999999999999</v>
      </c>
      <c r="G38" t="n">
        <v>51.1</v>
      </c>
      <c r="H38" t="inlineStr">
        <is>
          <t>Да</t>
        </is>
      </c>
      <c r="I38" t="inlineStr">
        <is>
          <t>8,2 , ТЭН: 43</t>
        </is>
      </c>
    </row>
    <row r="39">
      <c r="A39" t="inlineStr"/>
      <c r="B39" t="inlineStr"/>
      <c r="C39" t="n">
        <v>14</v>
      </c>
      <c r="D39" t="inlineStr">
        <is>
          <t>Большой миксер</t>
        </is>
      </c>
      <c r="E39" t="n">
        <v>1</v>
      </c>
      <c r="F39" t="n">
        <v>157.3</v>
      </c>
      <c r="G39" t="n">
        <v>157.3</v>
      </c>
      <c r="H39" t="inlineStr">
        <is>
          <t>Да</t>
        </is>
      </c>
    </row>
    <row r="40">
      <c r="A40" t="inlineStr"/>
      <c r="B40" t="inlineStr"/>
      <c r="C40" t="n">
        <v>15</v>
      </c>
      <c r="D40" t="inlineStr">
        <is>
          <t>Миксер для фитингов</t>
        </is>
      </c>
      <c r="E40" t="n">
        <v>1</v>
      </c>
      <c r="F40" t="n">
        <v>102.2</v>
      </c>
      <c r="G40" t="n">
        <v>102.2</v>
      </c>
    </row>
    <row r="41">
      <c r="A41" t="inlineStr"/>
      <c r="B41" t="inlineStr"/>
      <c r="C41" t="n">
        <v>16</v>
      </c>
      <c r="D41" t="inlineStr">
        <is>
          <t>Миксер</t>
        </is>
      </c>
      <c r="E41" t="n">
        <v>1</v>
      </c>
      <c r="F41" t="n">
        <v>73.5</v>
      </c>
      <c r="G41" t="n">
        <v>79.5</v>
      </c>
      <c r="H41" t="inlineStr">
        <is>
          <t>Да</t>
        </is>
      </c>
      <c r="I41" t="inlineStr">
        <is>
          <t>73,5 , ТЭН: 6</t>
        </is>
      </c>
    </row>
    <row r="42">
      <c r="A42" t="inlineStr"/>
      <c r="B42" t="inlineStr"/>
      <c r="C42" t="n">
        <v>17</v>
      </c>
      <c r="D42" t="inlineStr">
        <is>
          <t>Автоматическое оборудование для раструба</t>
        </is>
      </c>
      <c r="E42" t="n">
        <v>1</v>
      </c>
      <c r="F42" t="n">
        <v>9.5</v>
      </c>
      <c r="G42" t="n">
        <v>26.5</v>
      </c>
      <c r="H42" t="inlineStr">
        <is>
          <t>Да</t>
        </is>
      </c>
      <c r="I42" t="inlineStr">
        <is>
          <t>9,5 ТЭН:17</t>
        </is>
      </c>
    </row>
    <row r="43">
      <c r="A43" t="inlineStr"/>
      <c r="B43" t="inlineStr"/>
      <c r="C43" t="n">
        <v>18</v>
      </c>
      <c r="D43" t="inlineStr">
        <is>
          <t>Автоматическое оборудование для раструба</t>
        </is>
      </c>
      <c r="E43" t="n">
        <v>1</v>
      </c>
      <c r="F43" t="n">
        <v>3.7</v>
      </c>
      <c r="G43" t="n">
        <v>13.7</v>
      </c>
      <c r="H43" t="inlineStr">
        <is>
          <t>Да</t>
        </is>
      </c>
      <c r="I43" t="inlineStr">
        <is>
          <t>3,7, ТЭН: 10</t>
        </is>
      </c>
    </row>
    <row r="44">
      <c r="A44" t="inlineStr"/>
      <c r="B44" t="inlineStr"/>
      <c r="C44" t="n">
        <v>19</v>
      </c>
      <c r="D44" t="inlineStr">
        <is>
          <t>Автоматическое оборудование для раструба</t>
        </is>
      </c>
      <c r="E44" t="n">
        <v>1</v>
      </c>
      <c r="F44" t="n">
        <v>7.5</v>
      </c>
      <c r="G44" t="n">
        <v>24.5</v>
      </c>
      <c r="H44" t="inlineStr">
        <is>
          <t>Да</t>
        </is>
      </c>
      <c r="I44" t="inlineStr">
        <is>
          <t>7,5 , ТЭН: 17</t>
        </is>
      </c>
    </row>
    <row r="45">
      <c r="A45" t="inlineStr"/>
      <c r="B45" t="inlineStr"/>
      <c r="C45" t="n">
        <v>20</v>
      </c>
      <c r="D45" t="inlineStr">
        <is>
          <t>Пила для резки браков</t>
        </is>
      </c>
      <c r="E45" t="n">
        <v>1</v>
      </c>
      <c r="F45" t="n">
        <v>3</v>
      </c>
      <c r="G45" t="n">
        <v>3</v>
      </c>
      <c r="H45" t="inlineStr">
        <is>
          <t>Нет</t>
        </is>
      </c>
    </row>
    <row r="46">
      <c r="A46" t="inlineStr"/>
      <c r="B46" t="inlineStr"/>
      <c r="C46" t="n">
        <v>21</v>
      </c>
      <c r="D46" t="inlineStr">
        <is>
          <t>Пила для резки браков</t>
        </is>
      </c>
      <c r="E46" t="n">
        <v>1</v>
      </c>
      <c r="F46" t="n">
        <v>5.5</v>
      </c>
      <c r="G46" t="n">
        <v>5.5</v>
      </c>
      <c r="H46" t="inlineStr">
        <is>
          <t>Нет</t>
        </is>
      </c>
    </row>
    <row r="47">
      <c r="A47" t="inlineStr"/>
      <c r="B47" t="inlineStr"/>
      <c r="C47" t="n">
        <v>22</v>
      </c>
      <c r="D47" t="inlineStr">
        <is>
          <t>Освещение</t>
        </is>
      </c>
      <c r="E47" t="n">
        <v>1</v>
      </c>
      <c r="F47" t="n">
        <v>2</v>
      </c>
      <c r="G47" t="n">
        <v>2</v>
      </c>
      <c r="H47" t="inlineStr">
        <is>
          <t>Нет</t>
        </is>
      </c>
    </row>
    <row r="48">
      <c r="D48" t="inlineStr">
        <is>
          <t>Итого по разделу</t>
        </is>
      </c>
      <c r="E48" t="n">
        <v>23</v>
      </c>
      <c r="G48" t="n">
        <v>771.7</v>
      </c>
      <c r="H48" t="n">
        <v>8</v>
      </c>
    </row>
    <row r="49"/>
    <row r="50">
      <c r="A50" t="inlineStr">
        <is>
          <t>Лист1</t>
        </is>
      </c>
      <c r="B50" t="inlineStr">
        <is>
          <t>3. Цех по производству фитингов из полипропилена и ПВХ</t>
        </is>
      </c>
      <c r="C50" t="n">
        <v>1</v>
      </c>
      <c r="D50" t="inlineStr">
        <is>
          <t>Трансформатор 1000 (ТП-2)</t>
        </is>
      </c>
      <c r="E50" t="n">
        <v>1</v>
      </c>
      <c r="H50" t="inlineStr">
        <is>
          <t>Нет</t>
        </is>
      </c>
    </row>
    <row r="51">
      <c r="A51" t="inlineStr"/>
      <c r="B51" t="inlineStr"/>
      <c r="C51" t="n">
        <v>2</v>
      </c>
      <c r="D51" t="inlineStr">
        <is>
          <t xml:space="preserve">Конденсаторное компенсирующее устройство 500 кВар </t>
        </is>
      </c>
      <c r="E51" t="n">
        <v>1</v>
      </c>
      <c r="H51" t="inlineStr">
        <is>
          <t>Нет</t>
        </is>
      </c>
    </row>
    <row r="52">
      <c r="A52" t="inlineStr"/>
      <c r="B52" t="inlineStr"/>
      <c r="C52" t="n">
        <v>3</v>
      </c>
      <c r="D52" t="inlineStr">
        <is>
          <t>Чиллер</t>
        </is>
      </c>
      <c r="E52" t="n">
        <v>1</v>
      </c>
      <c r="F52" t="n">
        <v>45</v>
      </c>
      <c r="G52" t="n">
        <v>45</v>
      </c>
      <c r="H52" t="inlineStr">
        <is>
          <t>Нет</t>
        </is>
      </c>
    </row>
    <row r="53">
      <c r="A53" t="inlineStr"/>
      <c r="B53" t="inlineStr"/>
      <c r="C53" t="n">
        <v>4</v>
      </c>
      <c r="D53" t="inlineStr">
        <is>
          <t>Чиллер</t>
        </is>
      </c>
      <c r="E53" t="n">
        <v>1</v>
      </c>
      <c r="F53" t="n">
        <v>43.5</v>
      </c>
      <c r="G53" t="n">
        <v>43.5</v>
      </c>
      <c r="H53" t="inlineStr">
        <is>
          <t>Нет</t>
        </is>
      </c>
    </row>
    <row r="54">
      <c r="A54" t="inlineStr"/>
      <c r="B54" t="inlineStr"/>
      <c r="C54" t="n">
        <v>5</v>
      </c>
      <c r="D54" t="inlineStr">
        <is>
          <t>Градирни</t>
        </is>
      </c>
      <c r="E54" t="n">
        <v>1</v>
      </c>
      <c r="F54" t="n">
        <v>4</v>
      </c>
      <c r="G54" t="n">
        <v>4</v>
      </c>
      <c r="H54" t="inlineStr">
        <is>
          <t>Нет</t>
        </is>
      </c>
    </row>
    <row r="55">
      <c r="A55" t="inlineStr"/>
      <c r="B55" t="inlineStr"/>
      <c r="C55" t="n">
        <v>6</v>
      </c>
      <c r="D55" t="inlineStr">
        <is>
          <t>Вакуумный насос</t>
        </is>
      </c>
      <c r="E55" t="n">
        <v>7</v>
      </c>
      <c r="F55" t="n">
        <v>2.2</v>
      </c>
      <c r="G55" t="n">
        <v>15.4</v>
      </c>
      <c r="H55" t="inlineStr">
        <is>
          <t>Нет</t>
        </is>
      </c>
    </row>
    <row r="56">
      <c r="A56" t="inlineStr"/>
      <c r="B56" t="inlineStr"/>
      <c r="C56" t="n">
        <v>7</v>
      </c>
      <c r="D56" t="inlineStr">
        <is>
          <t>Термопласт автомат BORCHE BS 650</t>
        </is>
      </c>
      <c r="E56" t="n">
        <v>1</v>
      </c>
      <c r="F56" t="n">
        <v>91.09999999999999</v>
      </c>
      <c r="G56" t="n">
        <v>91.09999999999999</v>
      </c>
      <c r="H56" t="inlineStr">
        <is>
          <t>Нет</t>
        </is>
      </c>
    </row>
    <row r="57">
      <c r="A57" t="inlineStr"/>
      <c r="B57" t="inlineStr"/>
      <c r="C57" t="n">
        <v>8</v>
      </c>
      <c r="D57" t="inlineStr">
        <is>
          <t>Термопласт автомат BORCHE BT 500-III</t>
        </is>
      </c>
      <c r="E57" t="n">
        <v>1</v>
      </c>
      <c r="F57" t="n">
        <v>75.09999999999999</v>
      </c>
      <c r="G57" t="n">
        <v>75.09999999999999</v>
      </c>
      <c r="H57" t="inlineStr">
        <is>
          <t>Нет</t>
        </is>
      </c>
    </row>
    <row r="58">
      <c r="A58" t="inlineStr"/>
      <c r="B58" t="inlineStr"/>
      <c r="C58" t="n">
        <v>9</v>
      </c>
      <c r="D58" t="inlineStr">
        <is>
          <t>Термопласт автомат BORCHE BT 500-III</t>
        </is>
      </c>
      <c r="E58" t="n">
        <v>1</v>
      </c>
      <c r="F58" t="n">
        <v>75.7</v>
      </c>
      <c r="G58" t="n">
        <v>75.7</v>
      </c>
      <c r="H58" t="inlineStr">
        <is>
          <t>Нет</t>
        </is>
      </c>
    </row>
    <row r="59">
      <c r="A59" t="inlineStr"/>
      <c r="B59" t="inlineStr"/>
      <c r="C59" t="n">
        <v>10</v>
      </c>
      <c r="D59" t="inlineStr">
        <is>
          <t>Термопласт автомат BORCHE BT 400-V-II</t>
        </is>
      </c>
      <c r="E59" t="n">
        <v>2</v>
      </c>
      <c r="F59" t="n">
        <v>61.48</v>
      </c>
      <c r="G59" t="n">
        <v>122.96</v>
      </c>
      <c r="H59" t="inlineStr">
        <is>
          <t>Нет</t>
        </is>
      </c>
    </row>
    <row r="60">
      <c r="A60" t="inlineStr"/>
      <c r="B60" t="inlineStr"/>
      <c r="C60" t="n">
        <v>11</v>
      </c>
      <c r="D60" t="inlineStr">
        <is>
          <t>Термопласт автомат BORCHE BT 400-III</t>
        </is>
      </c>
      <c r="E60" t="n">
        <v>2</v>
      </c>
      <c r="F60" t="n">
        <v>68</v>
      </c>
      <c r="G60" t="n">
        <v>136</v>
      </c>
      <c r="H60" t="inlineStr">
        <is>
          <t>Нет</t>
        </is>
      </c>
    </row>
    <row r="61">
      <c r="A61" t="inlineStr"/>
      <c r="B61" t="inlineStr"/>
      <c r="C61" t="n">
        <v>12</v>
      </c>
      <c r="D61" t="inlineStr">
        <is>
          <t>Термопласт автомат BORCHE BT 400-41</t>
        </is>
      </c>
      <c r="E61" t="n">
        <v>3</v>
      </c>
      <c r="F61" t="n">
        <v>59.2</v>
      </c>
      <c r="G61" t="n">
        <v>177.6</v>
      </c>
      <c r="H61" t="inlineStr">
        <is>
          <t>Нет</t>
        </is>
      </c>
    </row>
    <row r="62">
      <c r="A62" t="inlineStr"/>
      <c r="B62" t="inlineStr"/>
      <c r="C62" t="n">
        <v>13</v>
      </c>
      <c r="D62" t="inlineStr">
        <is>
          <t>Термопласт автомат BORCHE BT 320-III</t>
        </is>
      </c>
      <c r="E62" t="n">
        <v>4</v>
      </c>
      <c r="F62" t="n">
        <v>48.5</v>
      </c>
      <c r="G62" t="n">
        <v>194</v>
      </c>
      <c r="H62" t="inlineStr">
        <is>
          <t>Нет</t>
        </is>
      </c>
    </row>
    <row r="63">
      <c r="A63" t="inlineStr"/>
      <c r="B63" t="inlineStr"/>
      <c r="C63" t="n">
        <v>14</v>
      </c>
      <c r="D63" t="inlineStr">
        <is>
          <t>Термопласт автомат BORCHE BT 260-V-II</t>
        </is>
      </c>
      <c r="E63" t="n">
        <v>2</v>
      </c>
      <c r="F63" t="n">
        <v>38.25</v>
      </c>
      <c r="G63" t="n">
        <v>76.5</v>
      </c>
      <c r="H63" t="inlineStr">
        <is>
          <t>Нет</t>
        </is>
      </c>
    </row>
    <row r="64">
      <c r="A64" t="inlineStr"/>
      <c r="B64" t="inlineStr"/>
      <c r="C64" t="n">
        <v>15</v>
      </c>
      <c r="D64" t="inlineStr">
        <is>
          <t>Термопласт автомат HAITIAN SA 3800</t>
        </is>
      </c>
      <c r="E64" t="n">
        <v>2</v>
      </c>
      <c r="F64" t="n">
        <v>66.25</v>
      </c>
      <c r="G64" t="n">
        <v>132.5</v>
      </c>
      <c r="H64" t="inlineStr">
        <is>
          <t>Нет</t>
        </is>
      </c>
    </row>
    <row r="65">
      <c r="A65" t="inlineStr"/>
      <c r="B65" t="inlineStr"/>
      <c r="C65" t="n">
        <v>16</v>
      </c>
      <c r="D65" t="inlineStr">
        <is>
          <t>Термопласт автомат EKIN - 220</t>
        </is>
      </c>
      <c r="E65" t="n">
        <v>1</v>
      </c>
      <c r="F65" t="n">
        <v>56.3</v>
      </c>
      <c r="G65" t="n">
        <v>56.3</v>
      </c>
      <c r="H65" t="inlineStr">
        <is>
          <t>Нет</t>
        </is>
      </c>
    </row>
    <row r="66">
      <c r="A66" t="inlineStr"/>
      <c r="B66" t="inlineStr"/>
      <c r="C66" t="n">
        <v>17</v>
      </c>
      <c r="D66" t="inlineStr">
        <is>
          <t>Освещение</t>
        </is>
      </c>
      <c r="E66" t="n">
        <v>1</v>
      </c>
      <c r="F66" t="n">
        <v>3.3</v>
      </c>
      <c r="G66" t="n">
        <v>3.3</v>
      </c>
      <c r="H66" t="inlineStr">
        <is>
          <t>Нет</t>
        </is>
      </c>
    </row>
    <row r="67">
      <c r="D67" t="inlineStr">
        <is>
          <t>Итого по разделу</t>
        </is>
      </c>
      <c r="E67" t="n">
        <v>32</v>
      </c>
      <c r="G67" t="n">
        <v>1248.96</v>
      </c>
      <c r="H67" t="n">
        <v>0</v>
      </c>
    </row>
    <row r="68"/>
    <row r="69">
      <c r="A69" t="inlineStr">
        <is>
          <t>Лист1</t>
        </is>
      </c>
      <c r="B69" t="inlineStr">
        <is>
          <t>4.    Цех по производству труб для напольного отопления</t>
        </is>
      </c>
      <c r="C69" t="n">
        <v>1</v>
      </c>
      <c r="D69" t="inlineStr">
        <is>
          <t>Линия по производству труб для напольного отопления (5 слой)</t>
        </is>
      </c>
      <c r="E69" t="n">
        <v>1</v>
      </c>
      <c r="F69" t="n">
        <v>65.2</v>
      </c>
      <c r="G69" t="n">
        <v>92.15000000000001</v>
      </c>
      <c r="H69" t="inlineStr">
        <is>
          <t>Да</t>
        </is>
      </c>
      <c r="I69" t="inlineStr">
        <is>
          <t>65,2 ТЭН:27</t>
        </is>
      </c>
    </row>
    <row r="70">
      <c r="A70" t="inlineStr"/>
      <c r="B70" t="inlineStr"/>
      <c r="C70" t="n">
        <v>2</v>
      </c>
      <c r="D70" t="inlineStr">
        <is>
          <t>Линия по производству труб для напольного отопления (5 слой)</t>
        </is>
      </c>
      <c r="E70" t="n">
        <v>1</v>
      </c>
      <c r="F70" t="n">
        <v>66.59999999999999</v>
      </c>
      <c r="G70" t="n">
        <v>114.6</v>
      </c>
      <c r="H70" t="inlineStr">
        <is>
          <t>Да</t>
        </is>
      </c>
      <c r="I70" t="inlineStr">
        <is>
          <t>66,6 ТЭН:48</t>
        </is>
      </c>
    </row>
    <row r="71">
      <c r="A71" t="inlineStr"/>
      <c r="B71" t="inlineStr"/>
      <c r="C71" t="n">
        <v>3</v>
      </c>
      <c r="D71" t="inlineStr">
        <is>
          <t>Линия по производству труб для напольного отопления (1 слой)</t>
        </is>
      </c>
      <c r="E71" t="n">
        <v>1</v>
      </c>
      <c r="F71" t="n">
        <v>144.7</v>
      </c>
      <c r="G71" t="n">
        <v>156.7</v>
      </c>
      <c r="H71" t="inlineStr">
        <is>
          <t>Да</t>
        </is>
      </c>
      <c r="I71" t="inlineStr">
        <is>
          <t>144,7 ТЭН: 12</t>
        </is>
      </c>
    </row>
    <row r="72">
      <c r="A72" t="inlineStr"/>
      <c r="B72" t="inlineStr"/>
      <c r="C72" t="n">
        <v>4</v>
      </c>
      <c r="D72" t="inlineStr">
        <is>
          <t>Стабилизатор 150</t>
        </is>
      </c>
      <c r="E72" t="n">
        <v>1</v>
      </c>
    </row>
    <row r="73">
      <c r="A73" t="inlineStr"/>
      <c r="B73" t="inlineStr"/>
      <c r="C73" t="n">
        <v>5</v>
      </c>
      <c r="D73" t="inlineStr">
        <is>
          <t>Освещение</t>
        </is>
      </c>
      <c r="E73" t="n">
        <v>1</v>
      </c>
      <c r="F73" t="n">
        <v>1</v>
      </c>
      <c r="G73" t="n">
        <v>1</v>
      </c>
      <c r="H73" t="inlineStr">
        <is>
          <t>Нет</t>
        </is>
      </c>
    </row>
    <row r="74">
      <c r="D74" t="inlineStr">
        <is>
          <t>Итого по разделу</t>
        </is>
      </c>
      <c r="E74" t="n">
        <v>5</v>
      </c>
      <c r="G74" t="n">
        <v>364.45</v>
      </c>
      <c r="H74" t="n">
        <v>3</v>
      </c>
    </row>
    <row r="75"/>
    <row r="76">
      <c r="A76" t="inlineStr">
        <is>
          <t>Лист1</t>
        </is>
      </c>
      <c r="B76" t="inlineStr">
        <is>
          <t>5.    Цех по гранулированию</t>
        </is>
      </c>
      <c r="C76" t="n">
        <v>1</v>
      </c>
      <c r="D76" t="inlineStr">
        <is>
          <t>Оборудование гранулятор</t>
        </is>
      </c>
      <c r="E76" t="n">
        <v>1</v>
      </c>
      <c r="F76" t="n">
        <v>157.45</v>
      </c>
      <c r="G76" t="n">
        <v>157.45</v>
      </c>
      <c r="H76" t="inlineStr">
        <is>
          <t>Да</t>
        </is>
      </c>
    </row>
    <row r="77">
      <c r="A77" t="inlineStr"/>
      <c r="B77" t="inlineStr"/>
      <c r="C77" t="n">
        <v>2</v>
      </c>
      <c r="D77" t="inlineStr">
        <is>
          <t>Оборудование гранулятор ТЭН</t>
        </is>
      </c>
      <c r="E77" t="n">
        <v>1</v>
      </c>
      <c r="F77" t="n">
        <v>39</v>
      </c>
      <c r="G77" t="n">
        <v>39</v>
      </c>
      <c r="H77" t="inlineStr">
        <is>
          <t>Да</t>
        </is>
      </c>
    </row>
    <row r="78">
      <c r="A78" t="inlineStr"/>
      <c r="B78" t="inlineStr"/>
      <c r="C78" t="n">
        <v>3</v>
      </c>
      <c r="D78" t="inlineStr">
        <is>
          <t>Мельница</t>
        </is>
      </c>
      <c r="E78" t="n">
        <v>1</v>
      </c>
      <c r="F78" t="n">
        <v>89.5</v>
      </c>
      <c r="G78" t="n">
        <v>89.5</v>
      </c>
      <c r="H78" t="inlineStr">
        <is>
          <t>Да</t>
        </is>
      </c>
    </row>
    <row r="79">
      <c r="A79" t="inlineStr"/>
      <c r="B79" t="inlineStr"/>
      <c r="C79" t="n">
        <v>4</v>
      </c>
      <c r="D79" t="inlineStr">
        <is>
          <t>Миксер</t>
        </is>
      </c>
      <c r="E79" t="n">
        <v>1</v>
      </c>
      <c r="F79" t="n">
        <v>55</v>
      </c>
      <c r="G79" t="n">
        <v>55</v>
      </c>
      <c r="H79" t="inlineStr">
        <is>
          <t>Да</t>
        </is>
      </c>
    </row>
    <row r="80">
      <c r="A80" t="inlineStr"/>
      <c r="B80" t="inlineStr"/>
      <c r="C80" t="n">
        <v>5</v>
      </c>
      <c r="D80" t="inlineStr">
        <is>
          <t>Миксер (136)</t>
        </is>
      </c>
      <c r="E80" t="n">
        <v>1</v>
      </c>
      <c r="F80" t="n">
        <v>136.4</v>
      </c>
      <c r="G80" t="n">
        <v>136.4</v>
      </c>
      <c r="H80" t="inlineStr">
        <is>
          <t>Нет</t>
        </is>
      </c>
    </row>
    <row r="81">
      <c r="A81" t="inlineStr"/>
      <c r="B81" t="inlineStr"/>
      <c r="C81" t="n">
        <v>6</v>
      </c>
      <c r="D81" t="inlineStr">
        <is>
          <t>Водяной насос</t>
        </is>
      </c>
      <c r="E81" t="n">
        <v>1</v>
      </c>
      <c r="F81" t="n">
        <v>2.2</v>
      </c>
      <c r="G81" t="n">
        <v>2.2</v>
      </c>
      <c r="H81" t="inlineStr">
        <is>
          <t>Нет</t>
        </is>
      </c>
    </row>
    <row r="82">
      <c r="A82" t="inlineStr"/>
      <c r="B82" t="inlineStr"/>
      <c r="C82" t="n">
        <v>7</v>
      </c>
      <c r="D82" t="inlineStr">
        <is>
          <t>Градирни</t>
        </is>
      </c>
      <c r="E82" t="n">
        <v>1</v>
      </c>
      <c r="F82" t="n">
        <v>4</v>
      </c>
      <c r="G82" t="n">
        <v>4</v>
      </c>
      <c r="H82" t="inlineStr">
        <is>
          <t>Нет</t>
        </is>
      </c>
    </row>
    <row r="83">
      <c r="A83" t="inlineStr"/>
      <c r="B83" t="inlineStr"/>
      <c r="C83" t="n">
        <v>8</v>
      </c>
      <c r="D83" t="inlineStr">
        <is>
          <t>Дробилка ПВСи</t>
        </is>
      </c>
      <c r="E83" t="n">
        <v>1</v>
      </c>
      <c r="F83" t="n">
        <v>47</v>
      </c>
      <c r="G83" t="n">
        <v>47</v>
      </c>
      <c r="H83" t="inlineStr">
        <is>
          <t>Нет</t>
        </is>
      </c>
    </row>
    <row r="84">
      <c r="A84" t="inlineStr"/>
      <c r="B84" t="inlineStr"/>
      <c r="C84" t="n">
        <v>9</v>
      </c>
      <c r="D84" t="inlineStr">
        <is>
          <t>Дробилка ППР</t>
        </is>
      </c>
      <c r="E84" t="n">
        <v>1</v>
      </c>
      <c r="F84" t="n">
        <v>45</v>
      </c>
      <c r="G84" t="n">
        <v>45</v>
      </c>
      <c r="H84" t="inlineStr">
        <is>
          <t>Нет</t>
        </is>
      </c>
    </row>
    <row r="85">
      <c r="A85" t="inlineStr"/>
      <c r="B85" t="inlineStr"/>
      <c r="C85" t="n">
        <v>10</v>
      </c>
      <c r="D85" t="inlineStr">
        <is>
          <t>Освещение</t>
        </is>
      </c>
      <c r="E85" t="n">
        <v>1</v>
      </c>
      <c r="F85" t="n">
        <v>0.9</v>
      </c>
      <c r="G85" t="n">
        <v>0.9</v>
      </c>
      <c r="H85" t="inlineStr">
        <is>
          <t>Нет</t>
        </is>
      </c>
    </row>
    <row r="86">
      <c r="D86" t="inlineStr">
        <is>
          <t>Итого по разделу</t>
        </is>
      </c>
      <c r="E86" t="n">
        <v>10</v>
      </c>
      <c r="G86" t="n">
        <v>576.45</v>
      </c>
      <c r="H86" t="n">
        <v>4</v>
      </c>
    </row>
    <row r="87"/>
    <row r="88">
      <c r="A88" t="inlineStr">
        <is>
          <t>Лист1</t>
        </is>
      </c>
      <c r="B88" t="inlineStr">
        <is>
          <t>6. Склад готовой продукции</t>
        </is>
      </c>
      <c r="C88" t="n">
        <v>1</v>
      </c>
      <c r="D88" t="inlineStr">
        <is>
          <t>Освещение</t>
        </is>
      </c>
      <c r="E88" t="n">
        <v>10</v>
      </c>
      <c r="F88" t="n">
        <v>0.15</v>
      </c>
      <c r="G88" t="n">
        <v>1.5</v>
      </c>
      <c r="H88" t="inlineStr">
        <is>
          <t>Нет</t>
        </is>
      </c>
    </row>
    <row r="89">
      <c r="A89" t="inlineStr"/>
      <c r="B89" t="inlineStr"/>
      <c r="C89" t="n">
        <v>2</v>
      </c>
      <c r="D89" t="inlineStr">
        <is>
          <t>Освещение</t>
        </is>
      </c>
      <c r="E89" t="n">
        <v>3</v>
      </c>
      <c r="F89" t="n">
        <v>0.15</v>
      </c>
      <c r="G89" t="n">
        <v>0.45</v>
      </c>
      <c r="H89" t="inlineStr">
        <is>
          <t>Нет</t>
        </is>
      </c>
    </row>
    <row r="90">
      <c r="D90" t="inlineStr">
        <is>
          <t>Итого по разделу</t>
        </is>
      </c>
      <c r="E90" t="n">
        <v>13</v>
      </c>
      <c r="G90" t="n">
        <v>1.95</v>
      </c>
    </row>
    <row r="91"/>
    <row r="92">
      <c r="A92" t="inlineStr">
        <is>
          <t>Лист1</t>
        </is>
      </c>
      <c r="B92" t="inlineStr">
        <is>
          <t>7. Склад Сырья</t>
        </is>
      </c>
      <c r="C92" t="n">
        <v>1</v>
      </c>
      <c r="D92" t="inlineStr">
        <is>
          <t>Освещение</t>
        </is>
      </c>
      <c r="E92" t="n">
        <v>4</v>
      </c>
      <c r="F92" t="n">
        <v>0.05</v>
      </c>
      <c r="G92" t="n">
        <v>0.2</v>
      </c>
      <c r="H92" t="inlineStr">
        <is>
          <t>Нет</t>
        </is>
      </c>
    </row>
    <row r="93"/>
    <row r="94">
      <c r="A94" t="inlineStr">
        <is>
          <t>Лист1</t>
        </is>
      </c>
      <c r="B94" t="inlineStr">
        <is>
          <t>8. Склад для сырья и комплектующих материалов</t>
        </is>
      </c>
      <c r="C94" t="n">
        <v>1</v>
      </c>
      <c r="D94" t="inlineStr">
        <is>
          <t>Освещение склад помещения</t>
        </is>
      </c>
      <c r="E94" t="n">
        <v>1</v>
      </c>
      <c r="F94" t="n">
        <v>0.2</v>
      </c>
      <c r="G94" t="n">
        <v>0.2</v>
      </c>
      <c r="H94" t="inlineStr">
        <is>
          <t>Нет</t>
        </is>
      </c>
    </row>
    <row r="95">
      <c r="A95" t="inlineStr"/>
      <c r="B95" t="inlineStr"/>
      <c r="C95" t="n">
        <v>2</v>
      </c>
      <c r="D95" t="inlineStr">
        <is>
          <t>Механический цех освещение</t>
        </is>
      </c>
      <c r="E95" t="n">
        <v>1</v>
      </c>
      <c r="F95" t="n">
        <v>0.7</v>
      </c>
      <c r="G95" t="n">
        <v>0.7</v>
      </c>
      <c r="H95" t="inlineStr">
        <is>
          <t>Нет</t>
        </is>
      </c>
    </row>
    <row r="96">
      <c r="A96" t="inlineStr"/>
      <c r="B96" t="inlineStr"/>
      <c r="C96" t="n">
        <v>3</v>
      </c>
      <c r="D96" t="inlineStr">
        <is>
          <t>Механический цех станки</t>
        </is>
      </c>
      <c r="E96" t="n">
        <v>1</v>
      </c>
      <c r="F96" t="n">
        <v>27</v>
      </c>
      <c r="G96" t="n">
        <v>27</v>
      </c>
      <c r="H96" t="inlineStr">
        <is>
          <t>Нет</t>
        </is>
      </c>
    </row>
    <row r="97">
      <c r="A97" t="inlineStr"/>
      <c r="B97" t="inlineStr"/>
      <c r="C97" t="n">
        <v>4</v>
      </c>
      <c r="D97" t="inlineStr">
        <is>
          <t>Лаборатория</t>
        </is>
      </c>
      <c r="E97" t="n">
        <v>1</v>
      </c>
      <c r="F97" t="n">
        <v>0.9</v>
      </c>
      <c r="G97" t="n">
        <v>0.9</v>
      </c>
      <c r="H97" t="inlineStr">
        <is>
          <t>Нет</t>
        </is>
      </c>
    </row>
    <row r="98">
      <c r="A98" t="inlineStr"/>
      <c r="B98" t="inlineStr"/>
      <c r="C98" t="n">
        <v>5</v>
      </c>
      <c r="D98" t="inlineStr">
        <is>
          <t>Столовая водонагреватель</t>
        </is>
      </c>
      <c r="E98" t="n">
        <v>1</v>
      </c>
      <c r="F98" t="n">
        <v>5</v>
      </c>
      <c r="G98" t="n">
        <v>5</v>
      </c>
      <c r="H98" t="inlineStr">
        <is>
          <t>Нет</t>
        </is>
      </c>
    </row>
    <row r="99">
      <c r="A99" t="inlineStr"/>
      <c r="B99" t="inlineStr"/>
      <c r="C99" t="n">
        <v>6</v>
      </c>
      <c r="D99" t="inlineStr">
        <is>
          <t>Столовая освещение</t>
        </is>
      </c>
      <c r="E99" t="n">
        <v>1</v>
      </c>
      <c r="F99" t="n">
        <v>1</v>
      </c>
      <c r="G99" t="n">
        <v>1</v>
      </c>
      <c r="H99" t="inlineStr">
        <is>
          <t>Нет</t>
        </is>
      </c>
    </row>
    <row r="100">
      <c r="D100" t="inlineStr">
        <is>
          <t>Итого по разделу</t>
        </is>
      </c>
      <c r="E100" t="n">
        <v>6</v>
      </c>
      <c r="G100" t="n">
        <v>34.8</v>
      </c>
      <c r="H100" t="n">
        <v>0</v>
      </c>
    </row>
    <row r="101"/>
    <row r="102">
      <c r="A102" t="inlineStr">
        <is>
          <t>Лист1</t>
        </is>
      </c>
      <c r="B102" t="inlineStr">
        <is>
          <t>9. Склад готовой продукции для труб из ПВХ</t>
        </is>
      </c>
      <c r="C102" t="n">
        <v>1</v>
      </c>
      <c r="D102" t="inlineStr">
        <is>
          <t>Освещение</t>
        </is>
      </c>
      <c r="E102" t="n">
        <v>10</v>
      </c>
      <c r="F102" t="n">
        <v>0.15</v>
      </c>
      <c r="G102" t="n">
        <v>15</v>
      </c>
      <c r="H102" t="inlineStr">
        <is>
          <t>Нет</t>
        </is>
      </c>
    </row>
    <row r="103"/>
    <row r="104">
      <c r="A104" t="inlineStr">
        <is>
          <t>Лист1</t>
        </is>
      </c>
      <c r="B104" t="inlineStr">
        <is>
          <t>10. Офис</t>
        </is>
      </c>
      <c r="C104" t="n">
        <v>1</v>
      </c>
      <c r="D104" t="inlineStr">
        <is>
          <t>Кондиционер</t>
        </is>
      </c>
      <c r="E104" t="n">
        <v>10</v>
      </c>
      <c r="F104" t="n">
        <v>2.8</v>
      </c>
      <c r="G104" t="n">
        <v>28</v>
      </c>
      <c r="H104" t="inlineStr">
        <is>
          <t>Нет</t>
        </is>
      </c>
    </row>
    <row r="105">
      <c r="A105" t="inlineStr"/>
      <c r="B105" t="inlineStr"/>
      <c r="C105" t="n">
        <v>2</v>
      </c>
      <c r="D105" t="inlineStr">
        <is>
          <t>Водяной насос</t>
        </is>
      </c>
      <c r="E105" t="n">
        <v>1</v>
      </c>
      <c r="F105" t="n">
        <v>0.75</v>
      </c>
      <c r="G105" t="n">
        <v>0.75</v>
      </c>
      <c r="H105" t="inlineStr">
        <is>
          <t>Нет</t>
        </is>
      </c>
    </row>
    <row r="106">
      <c r="A106" t="inlineStr"/>
      <c r="B106" t="inlineStr"/>
      <c r="C106" t="n">
        <v>3</v>
      </c>
      <c r="D106" t="inlineStr">
        <is>
          <t>Аристон</t>
        </is>
      </c>
      <c r="E106" t="n">
        <v>1</v>
      </c>
      <c r="F106" t="n">
        <v>1.5</v>
      </c>
      <c r="G106" t="n">
        <v>1.5</v>
      </c>
      <c r="H106" t="inlineStr">
        <is>
          <t>Нет</t>
        </is>
      </c>
    </row>
    <row r="107">
      <c r="A107" t="inlineStr"/>
      <c r="B107" t="inlineStr"/>
      <c r="C107" t="n">
        <v>4</v>
      </c>
      <c r="D107" t="inlineStr">
        <is>
          <t>Резервный генератор бензиновый</t>
        </is>
      </c>
      <c r="E107" t="n">
        <v>1</v>
      </c>
      <c r="F107" t="n">
        <v>6.5</v>
      </c>
      <c r="G107" t="n">
        <v>6.5</v>
      </c>
      <c r="H107" t="inlineStr">
        <is>
          <t>Нет</t>
        </is>
      </c>
    </row>
    <row r="108">
      <c r="A108" t="inlineStr"/>
      <c r="B108" t="inlineStr"/>
      <c r="C108" t="n">
        <v>5</v>
      </c>
      <c r="D108" t="inlineStr">
        <is>
          <t>Освещение</t>
        </is>
      </c>
      <c r="E108" t="n">
        <v>1</v>
      </c>
      <c r="F108" t="n">
        <v>1.1</v>
      </c>
      <c r="G108" t="n">
        <v>1.1</v>
      </c>
      <c r="H108" t="inlineStr">
        <is>
          <t>Нет</t>
        </is>
      </c>
    </row>
    <row r="109">
      <c r="D109" t="inlineStr">
        <is>
          <t>Итого по разделу</t>
        </is>
      </c>
      <c r="E109" t="n">
        <v>14</v>
      </c>
      <c r="G109" t="n">
        <v>37.85</v>
      </c>
      <c r="H109" t="n">
        <v>0</v>
      </c>
    </row>
    <row r="110"/>
    <row r="111">
      <c r="A111" t="inlineStr">
        <is>
          <t>Лист1</t>
        </is>
      </c>
      <c r="B111" t="inlineStr">
        <is>
          <t>11. Раздевалка, душевые</t>
        </is>
      </c>
      <c r="C111" t="n">
        <v>1</v>
      </c>
      <c r="D111" t="inlineStr">
        <is>
          <t>Вытяжка</t>
        </is>
      </c>
      <c r="E111" t="n">
        <v>2</v>
      </c>
      <c r="F111" t="n">
        <v>3.3</v>
      </c>
      <c r="G111" t="n">
        <v>6.6</v>
      </c>
      <c r="H111" t="inlineStr">
        <is>
          <t>Нет</t>
        </is>
      </c>
    </row>
    <row r="112">
      <c r="A112" t="inlineStr"/>
      <c r="B112" t="inlineStr"/>
      <c r="C112" t="n">
        <v>2</v>
      </c>
      <c r="D112" t="inlineStr">
        <is>
          <t>Водонагреватель солнечный</t>
        </is>
      </c>
      <c r="E112" t="n">
        <v>1</v>
      </c>
      <c r="F112" t="n">
        <v>3.5</v>
      </c>
      <c r="G112" t="n">
        <v>3.5</v>
      </c>
      <c r="H112" t="inlineStr">
        <is>
          <t>Нет</t>
        </is>
      </c>
    </row>
    <row r="113">
      <c r="A113" t="inlineStr"/>
      <c r="B113" t="inlineStr"/>
      <c r="C113" t="n">
        <v>3</v>
      </c>
      <c r="D113" t="inlineStr">
        <is>
          <t>Водяной насос</t>
        </is>
      </c>
      <c r="E113" t="n">
        <v>2</v>
      </c>
      <c r="F113" t="n">
        <v>1.85</v>
      </c>
      <c r="G113" t="n">
        <v>3.7</v>
      </c>
      <c r="H113" t="inlineStr">
        <is>
          <t>Нет</t>
        </is>
      </c>
    </row>
    <row r="114">
      <c r="A114" t="inlineStr"/>
      <c r="B114" t="inlineStr"/>
      <c r="C114" t="n">
        <v>4</v>
      </c>
      <c r="D114" t="inlineStr">
        <is>
          <t>Освещение</t>
        </is>
      </c>
      <c r="E114" t="n">
        <v>1</v>
      </c>
      <c r="F114" t="n">
        <v>0.5</v>
      </c>
      <c r="G114" t="n">
        <v>0.5</v>
      </c>
      <c r="H114" t="inlineStr">
        <is>
          <t>Нет</t>
        </is>
      </c>
    </row>
    <row r="115">
      <c r="D115" t="inlineStr">
        <is>
          <t>Итого по разделу</t>
        </is>
      </c>
      <c r="E115" t="n">
        <v>6</v>
      </c>
      <c r="G115" t="n">
        <v>14.3</v>
      </c>
      <c r="H115" t="n">
        <v>0</v>
      </c>
    </row>
    <row r="116"/>
    <row r="117">
      <c r="A117" t="inlineStr">
        <is>
          <t>Сводные показатели</t>
        </is>
      </c>
    </row>
    <row r="118">
      <c r="A118" t="inlineStr">
        <is>
          <t>Количество площадок (листов)</t>
        </is>
      </c>
      <c r="B118" t="n">
        <v>1</v>
      </c>
    </row>
    <row r="119">
      <c r="A119" t="inlineStr">
        <is>
          <t>Количество разделов</t>
        </is>
      </c>
      <c r="B119" t="n">
        <v>11</v>
      </c>
    </row>
    <row r="120">
      <c r="A120" t="inlineStr">
        <is>
          <t>Количество единиц оборудования</t>
        </is>
      </c>
      <c r="B120" t="n">
        <v>95</v>
      </c>
    </row>
    <row r="121">
      <c r="A121" t="inlineStr">
        <is>
          <t>Суммарная мощность, кВт</t>
        </is>
      </c>
      <c r="B121" t="n">
        <v>5601.71</v>
      </c>
    </row>
    <row r="122">
      <c r="A122" t="inlineStr">
        <is>
          <t>Кол-во с ЧП (VFD)</t>
        </is>
      </c>
      <c r="B122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9" customWidth="1" min="3" max="3"/>
    <col width="12" customWidth="1" min="4" max="4"/>
    <col width="14" customWidth="1" min="5" max="5"/>
    <col width="13" customWidth="1" min="6" max="6"/>
    <col width="15" customWidth="1" min="7" max="7"/>
    <col width="13" customWidth="1" min="8" max="8"/>
    <col width="8" customWidth="1" min="9" max="9"/>
    <col width="15" customWidth="1" min="10" max="10"/>
  </cols>
  <sheetData>
    <row r="1">
      <c r="A1" t="inlineStr">
        <is>
          <t>Раздел</t>
        </is>
      </c>
      <c r="B1" t="inlineStr">
        <is>
          <t>Конструкция</t>
        </is>
      </c>
      <c r="C1" t="inlineStr">
        <is>
          <t>Материал</t>
        </is>
      </c>
      <c r="D1" t="inlineStr">
        <is>
          <t>Толщина, м</t>
        </is>
      </c>
      <c r="E1" t="inlineStr">
        <is>
          <t>λ, Вт/(м·°C)</t>
        </is>
      </c>
      <c r="F1" t="inlineStr">
        <is>
          <t>R, м²·°C/Вт</t>
        </is>
      </c>
      <c r="G1" t="inlineStr">
        <is>
          <t>Rтр, м²·°C/Вт</t>
        </is>
      </c>
      <c r="H1" t="inlineStr">
        <is>
          <t>Площадь, м²</t>
        </is>
      </c>
      <c r="I1" t="inlineStr">
        <is>
          <t>ΔT, °C</t>
        </is>
      </c>
      <c r="J1" t="inlineStr">
        <is>
          <t>Теплопотери Q</t>
        </is>
      </c>
    </row>
    <row r="2">
      <c r="A2" t="inlineStr">
        <is>
          <t>Термопласт Фитинг</t>
        </is>
      </c>
      <c r="B2" t="inlineStr">
        <is>
          <t>Стена</t>
        </is>
      </c>
      <c r="C2" t="inlineStr">
        <is>
          <t>шлакобл</t>
        </is>
      </c>
      <c r="D2" t="n">
        <v>0.4</v>
      </c>
      <c r="E2" t="n">
        <v>0.6</v>
      </c>
      <c r="F2" t="n">
        <v>0.66</v>
      </c>
      <c r="G2" t="n">
        <v>2.8</v>
      </c>
      <c r="H2" t="n">
        <v>978</v>
      </c>
      <c r="I2" t="n">
        <v>25</v>
      </c>
      <c r="J2" t="n">
        <v>36675</v>
      </c>
    </row>
    <row r="3">
      <c r="A3" t="inlineStr"/>
      <c r="B3" t="inlineStr">
        <is>
          <t>Окно</t>
        </is>
      </c>
      <c r="C3" t="inlineStr">
        <is>
          <t>стеклопак</t>
        </is>
      </c>
      <c r="D3" t="n">
        <v>0.03</v>
      </c>
      <c r="E3" t="n">
        <v>0.8</v>
      </c>
      <c r="F3" t="n">
        <v>0.03</v>
      </c>
      <c r="G3" t="n">
        <v>0.8</v>
      </c>
      <c r="H3" t="n">
        <v>156</v>
      </c>
      <c r="I3" t="n">
        <v>25</v>
      </c>
      <c r="J3" t="n">
        <v>104000</v>
      </c>
    </row>
    <row r="4">
      <c r="A4" t="inlineStr"/>
      <c r="B4" t="inlineStr">
        <is>
          <t>Крыша</t>
        </is>
      </c>
      <c r="C4" t="inlineStr">
        <is>
          <t>утп профлист</t>
        </is>
      </c>
      <c r="D4" t="n">
        <v>0.5</v>
      </c>
      <c r="E4" t="n">
        <v>0.1</v>
      </c>
      <c r="F4" t="n">
        <v>3</v>
      </c>
      <c r="G4" t="n">
        <v>4.7</v>
      </c>
      <c r="H4" t="n">
        <v>1290</v>
      </c>
      <c r="I4" t="n">
        <v>23</v>
      </c>
      <c r="J4" t="n">
        <v>9890</v>
      </c>
    </row>
    <row r="5">
      <c r="A5" t="inlineStr"/>
      <c r="B5" t="inlineStr">
        <is>
          <t>Пол</t>
        </is>
      </c>
      <c r="C5" t="inlineStr">
        <is>
          <t>бетон</t>
        </is>
      </c>
      <c r="D5" t="n">
        <v>0.18</v>
      </c>
      <c r="E5" t="n">
        <v>0.8</v>
      </c>
      <c r="F5" t="n">
        <v>0.225</v>
      </c>
      <c r="G5" t="n">
        <v>3.4</v>
      </c>
      <c r="H5" t="n">
        <v>1290</v>
      </c>
      <c r="I5" t="n">
        <v>5</v>
      </c>
      <c r="J5" t="n">
        <v>286666</v>
      </c>
    </row>
    <row r="6">
      <c r="B6" t="inlineStr">
        <is>
          <t>Итого</t>
        </is>
      </c>
      <c r="H6" t="n">
        <v>3714</v>
      </c>
      <c r="J6" t="n">
        <v>179231</v>
      </c>
    </row>
    <row r="7"/>
    <row r="8">
      <c r="A8" t="inlineStr">
        <is>
          <t>ППР труба</t>
        </is>
      </c>
      <c r="B8" t="inlineStr">
        <is>
          <t>Стена</t>
        </is>
      </c>
      <c r="C8" t="inlineStr">
        <is>
          <t>пдс панель кирпич</t>
        </is>
      </c>
      <c r="D8" t="n">
        <v>0.4</v>
      </c>
      <c r="E8" t="n">
        <v>0.7</v>
      </c>
      <c r="F8" t="n">
        <v>0.5714</v>
      </c>
      <c r="G8" t="n">
        <v>2.8</v>
      </c>
      <c r="H8" t="n">
        <v>712</v>
      </c>
      <c r="I8" t="n">
        <v>25</v>
      </c>
      <c r="J8" t="n">
        <v>31150</v>
      </c>
    </row>
    <row r="9">
      <c r="A9" t="inlineStr"/>
      <c r="B9" t="inlineStr">
        <is>
          <t>Окно</t>
        </is>
      </c>
      <c r="C9" t="inlineStr">
        <is>
          <t>стеклопак</t>
        </is>
      </c>
      <c r="D9" t="n">
        <v>0.03</v>
      </c>
      <c r="E9" t="n">
        <v>1</v>
      </c>
      <c r="F9" t="n">
        <v>0.03</v>
      </c>
      <c r="G9" t="n">
        <v>0.8</v>
      </c>
      <c r="H9" t="n">
        <v>63</v>
      </c>
      <c r="I9" t="n">
        <v>25</v>
      </c>
      <c r="J9" t="n">
        <v>52500</v>
      </c>
    </row>
    <row r="10">
      <c r="A10" t="inlineStr"/>
      <c r="B10" t="inlineStr">
        <is>
          <t>Крыша</t>
        </is>
      </c>
      <c r="C10" t="inlineStr">
        <is>
          <t>утп профлист</t>
        </is>
      </c>
      <c r="D10" t="n">
        <v>0.5</v>
      </c>
      <c r="E10" t="n">
        <v>0.1</v>
      </c>
      <c r="F10" t="n">
        <v>3</v>
      </c>
      <c r="G10" t="n">
        <v>4.7</v>
      </c>
      <c r="H10" t="n">
        <v>1451</v>
      </c>
      <c r="I10" t="n">
        <v>25</v>
      </c>
      <c r="J10" t="n">
        <v>11124</v>
      </c>
    </row>
    <row r="11">
      <c r="A11" t="inlineStr"/>
      <c r="B11" t="inlineStr">
        <is>
          <t>Пол</t>
        </is>
      </c>
      <c r="C11" t="inlineStr">
        <is>
          <t>бетон</t>
        </is>
      </c>
      <c r="D11" t="n">
        <v>0.18</v>
      </c>
      <c r="E11" t="n">
        <v>0.8</v>
      </c>
      <c r="F11" t="n">
        <v>0.225</v>
      </c>
      <c r="G11" t="n">
        <v>3.4</v>
      </c>
      <c r="H11" t="n">
        <v>1451</v>
      </c>
      <c r="I11" t="n">
        <v>5</v>
      </c>
      <c r="J11" t="n">
        <v>32244</v>
      </c>
    </row>
    <row r="12">
      <c r="B12" t="inlineStr">
        <is>
          <t>Итого</t>
        </is>
      </c>
      <c r="H12" t="n">
        <v>3677</v>
      </c>
      <c r="J12" t="n">
        <v>127018</v>
      </c>
    </row>
    <row r="13"/>
    <row r="14">
      <c r="A14" t="inlineStr">
        <is>
          <t>ПФС труба</t>
        </is>
      </c>
      <c r="B14" t="inlineStr">
        <is>
          <t>Стена</t>
        </is>
      </c>
      <c r="C14" t="inlineStr">
        <is>
          <t>пдс панель кирпич</t>
        </is>
      </c>
      <c r="D14" t="n">
        <v>0.4</v>
      </c>
      <c r="E14" t="n">
        <v>0.7</v>
      </c>
      <c r="F14" t="n">
        <v>0.5714</v>
      </c>
      <c r="G14" t="n">
        <v>2.8</v>
      </c>
      <c r="H14" t="n">
        <v>712</v>
      </c>
      <c r="I14" t="n">
        <v>25</v>
      </c>
      <c r="J14" t="n">
        <v>31150</v>
      </c>
    </row>
    <row r="15">
      <c r="A15" t="inlineStr"/>
      <c r="B15" t="inlineStr">
        <is>
          <t>Окно</t>
        </is>
      </c>
      <c r="C15" t="inlineStr">
        <is>
          <t>стеклопак</t>
        </is>
      </c>
      <c r="D15" t="n">
        <v>0.03</v>
      </c>
      <c r="E15" t="n">
        <v>1</v>
      </c>
      <c r="F15" t="n">
        <v>0.03</v>
      </c>
      <c r="G15" t="n">
        <v>0.8</v>
      </c>
      <c r="H15" t="n">
        <v>57</v>
      </c>
      <c r="I15" t="n">
        <v>25</v>
      </c>
      <c r="J15" t="n">
        <v>47500</v>
      </c>
    </row>
    <row r="16">
      <c r="A16" t="inlineStr"/>
      <c r="B16" t="inlineStr">
        <is>
          <t>Крыша</t>
        </is>
      </c>
      <c r="C16" t="inlineStr">
        <is>
          <t>утп профлист</t>
        </is>
      </c>
      <c r="D16" t="n">
        <v>0.5</v>
      </c>
      <c r="E16" t="n">
        <v>0.1</v>
      </c>
      <c r="F16" t="n">
        <v>3</v>
      </c>
      <c r="G16" t="n">
        <v>4.7</v>
      </c>
      <c r="H16" t="n">
        <v>1451</v>
      </c>
      <c r="I16" t="n">
        <v>25</v>
      </c>
      <c r="J16" t="n">
        <v>11124</v>
      </c>
    </row>
    <row r="17">
      <c r="A17" t="inlineStr"/>
      <c r="B17" t="inlineStr">
        <is>
          <t>Пол</t>
        </is>
      </c>
      <c r="C17" t="inlineStr">
        <is>
          <t>бетон</t>
        </is>
      </c>
      <c r="D17" t="n">
        <v>0.18</v>
      </c>
      <c r="E17" t="n">
        <v>0.8</v>
      </c>
      <c r="F17" t="n">
        <v>0.225</v>
      </c>
      <c r="G17" t="n">
        <v>3.4</v>
      </c>
      <c r="H17" t="n">
        <v>1451</v>
      </c>
      <c r="I17" t="n">
        <v>5</v>
      </c>
      <c r="J17" t="n">
        <v>32244</v>
      </c>
    </row>
    <row r="18">
      <c r="B18" t="inlineStr">
        <is>
          <t>Итого</t>
        </is>
      </c>
      <c r="H18" t="n">
        <v>3671</v>
      </c>
    </row>
    <row r="19"/>
    <row r="20">
      <c r="A20" t="inlineStr">
        <is>
          <t>Офис</t>
        </is>
      </c>
      <c r="B20" t="inlineStr">
        <is>
          <t>Стена</t>
        </is>
      </c>
      <c r="C20" t="inlineStr">
        <is>
          <t>облиц кирпич</t>
        </is>
      </c>
      <c r="D20" t="n">
        <v>0.4</v>
      </c>
      <c r="E20" t="n">
        <v>0.6</v>
      </c>
      <c r="F20" t="n">
        <v>0.5</v>
      </c>
      <c r="G20" t="n">
        <v>2.8</v>
      </c>
      <c r="H20" t="n">
        <v>224</v>
      </c>
      <c r="I20" t="n">
        <v>25</v>
      </c>
      <c r="J20" t="n">
        <v>8400</v>
      </c>
    </row>
    <row r="21">
      <c r="A21" t="inlineStr"/>
      <c r="B21" t="inlineStr">
        <is>
          <t>Окно</t>
        </is>
      </c>
      <c r="C21" t="inlineStr">
        <is>
          <t>стеклопак</t>
        </is>
      </c>
      <c r="D21" t="n">
        <v>0.03</v>
      </c>
      <c r="E21" t="n">
        <v>0.8</v>
      </c>
      <c r="F21" t="n">
        <v>0.66</v>
      </c>
      <c r="G21" t="n">
        <v>0.8</v>
      </c>
      <c r="H21" t="n">
        <v>34.7</v>
      </c>
      <c r="I21" t="n">
        <v>25</v>
      </c>
      <c r="J21" t="n">
        <v>23133</v>
      </c>
    </row>
    <row r="22">
      <c r="A22" t="inlineStr"/>
      <c r="B22" t="inlineStr">
        <is>
          <t>Крыша</t>
        </is>
      </c>
      <c r="C22" t="inlineStr">
        <is>
          <t>утп профлист</t>
        </is>
      </c>
      <c r="D22" t="n">
        <v>0.5</v>
      </c>
      <c r="E22" t="n">
        <v>0.1</v>
      </c>
      <c r="F22" t="n">
        <v>3</v>
      </c>
      <c r="G22" t="n">
        <v>4.67</v>
      </c>
      <c r="H22" t="n">
        <v>306</v>
      </c>
      <c r="I22" t="n">
        <v>25</v>
      </c>
      <c r="J22" t="n">
        <v>2346</v>
      </c>
    </row>
    <row r="23">
      <c r="A23" t="inlineStr"/>
      <c r="B23" t="inlineStr">
        <is>
          <t>Пол</t>
        </is>
      </c>
      <c r="C23" t="inlineStr">
        <is>
          <t>паркет бетон</t>
        </is>
      </c>
      <c r="D23" t="n">
        <v>0.18</v>
      </c>
      <c r="E23" t="n">
        <v>0.1</v>
      </c>
      <c r="F23" t="n">
        <v>1.8</v>
      </c>
      <c r="G23" t="n">
        <v>3.4</v>
      </c>
      <c r="H23" t="n">
        <v>306</v>
      </c>
      <c r="I23" t="n">
        <v>5</v>
      </c>
      <c r="J23" t="n">
        <v>850</v>
      </c>
    </row>
    <row r="24">
      <c r="B24" t="inlineStr">
        <is>
          <t>Итого</t>
        </is>
      </c>
      <c r="H24" t="n">
        <v>870.7</v>
      </c>
    </row>
    <row r="25"/>
    <row r="26">
      <c r="A26" t="inlineStr">
        <is>
          <t>Кухня</t>
        </is>
      </c>
      <c r="B26" t="inlineStr">
        <is>
          <t>Стена</t>
        </is>
      </c>
      <c r="C26" t="inlineStr">
        <is>
          <t>кирпич</t>
        </is>
      </c>
      <c r="D26" t="n">
        <v>0.4</v>
      </c>
      <c r="E26" t="n">
        <v>0.45</v>
      </c>
      <c r="F26" t="n">
        <v>0.88</v>
      </c>
      <c r="G26" t="n">
        <v>2.8</v>
      </c>
      <c r="H26" t="n">
        <v>688</v>
      </c>
      <c r="I26" t="n">
        <v>25</v>
      </c>
      <c r="J26" t="n">
        <v>19350</v>
      </c>
    </row>
    <row r="27">
      <c r="A27" t="inlineStr"/>
      <c r="B27" t="inlineStr">
        <is>
          <t>Окно</t>
        </is>
      </c>
      <c r="C27" t="inlineStr">
        <is>
          <t>стеклопак</t>
        </is>
      </c>
      <c r="D27" t="n">
        <v>0.03</v>
      </c>
      <c r="E27" t="n">
        <v>0.8</v>
      </c>
      <c r="F27" t="n">
        <v>0.04</v>
      </c>
      <c r="G27" t="n">
        <v>0.8</v>
      </c>
      <c r="H27" t="n">
        <v>10</v>
      </c>
      <c r="I27" t="n">
        <v>25</v>
      </c>
      <c r="J27" t="n">
        <v>6666</v>
      </c>
    </row>
    <row r="28">
      <c r="A28" t="inlineStr"/>
      <c r="B28" t="inlineStr">
        <is>
          <t>Крыша</t>
        </is>
      </c>
      <c r="C28" t="inlineStr">
        <is>
          <t>утп профлист</t>
        </is>
      </c>
      <c r="D28" t="n">
        <v>0.5</v>
      </c>
      <c r="E28" t="n">
        <v>0.1</v>
      </c>
      <c r="F28" t="n">
        <v>3</v>
      </c>
      <c r="G28" t="n">
        <v>4.67</v>
      </c>
      <c r="H28" t="n">
        <v>1682</v>
      </c>
      <c r="I28" t="n">
        <v>25</v>
      </c>
      <c r="J28" t="n">
        <v>12895</v>
      </c>
    </row>
    <row r="29">
      <c r="A29" t="inlineStr"/>
      <c r="B29" t="inlineStr">
        <is>
          <t>Пол</t>
        </is>
      </c>
      <c r="C29" t="inlineStr">
        <is>
          <t>бетон</t>
        </is>
      </c>
      <c r="D29" t="n">
        <v>0.18</v>
      </c>
      <c r="E29" t="n">
        <v>1.5</v>
      </c>
      <c r="F29" t="n">
        <v>0.12</v>
      </c>
      <c r="G29" t="n">
        <v>3.4</v>
      </c>
      <c r="H29" t="n">
        <v>1682</v>
      </c>
      <c r="I29" t="n">
        <v>5</v>
      </c>
      <c r="J29" t="n">
        <v>70083</v>
      </c>
    </row>
    <row r="30">
      <c r="B30" t="inlineStr">
        <is>
          <t>Итого</t>
        </is>
      </c>
      <c r="H30" t="n">
        <v>4062</v>
      </c>
      <c r="J30" t="n">
        <v>108995</v>
      </c>
    </row>
    <row r="31"/>
    <row r="32">
      <c r="A32" t="inlineStr">
        <is>
          <t>Охрана</t>
        </is>
      </c>
      <c r="B32" t="inlineStr">
        <is>
          <t>Стена</t>
        </is>
      </c>
      <c r="C32" t="inlineStr">
        <is>
          <t>кирпич</t>
        </is>
      </c>
      <c r="D32" t="n">
        <v>0.4</v>
      </c>
      <c r="E32" t="n">
        <v>0.7</v>
      </c>
      <c r="F32" t="n">
        <v>0.57</v>
      </c>
      <c r="G32" t="n">
        <v>2.8</v>
      </c>
      <c r="H32" t="n">
        <v>140</v>
      </c>
      <c r="I32" t="n">
        <v>25</v>
      </c>
      <c r="J32" t="n">
        <v>6125</v>
      </c>
    </row>
    <row r="33">
      <c r="A33" t="inlineStr"/>
      <c r="B33" t="inlineStr">
        <is>
          <t>Окно</t>
        </is>
      </c>
      <c r="C33" t="inlineStr">
        <is>
          <t>стеклопак</t>
        </is>
      </c>
      <c r="D33" t="n">
        <v>0.03</v>
      </c>
      <c r="E33" t="n">
        <v>0.8</v>
      </c>
      <c r="F33" t="n">
        <v>0.0375</v>
      </c>
      <c r="G33" t="n">
        <v>0.8</v>
      </c>
      <c r="H33" t="n">
        <v>10</v>
      </c>
      <c r="I33" t="n">
        <v>25</v>
      </c>
      <c r="J33" t="n">
        <v>6666</v>
      </c>
    </row>
    <row r="34">
      <c r="A34" t="inlineStr"/>
      <c r="B34" t="inlineStr">
        <is>
          <t>Крыша</t>
        </is>
      </c>
      <c r="C34" t="inlineStr">
        <is>
          <t>утп профлист</t>
        </is>
      </c>
      <c r="D34" t="n">
        <v>0.5</v>
      </c>
      <c r="E34" t="n">
        <v>0.1</v>
      </c>
      <c r="F34" t="n">
        <v>3</v>
      </c>
      <c r="G34" t="n">
        <v>4.67</v>
      </c>
      <c r="H34" t="n">
        <v>75</v>
      </c>
      <c r="I34" t="n">
        <v>25</v>
      </c>
      <c r="J34" t="n">
        <v>575</v>
      </c>
    </row>
    <row r="35">
      <c r="A35" t="inlineStr"/>
      <c r="B35" t="inlineStr">
        <is>
          <t>Пол</t>
        </is>
      </c>
      <c r="C35" t="inlineStr">
        <is>
          <t>бетон</t>
        </is>
      </c>
      <c r="D35" t="n">
        <v>0.18</v>
      </c>
      <c r="E35" t="n">
        <v>1.5</v>
      </c>
      <c r="F35" t="n">
        <v>0.12</v>
      </c>
      <c r="G35" t="n">
        <v>3.4</v>
      </c>
      <c r="H35" t="n">
        <v>75</v>
      </c>
      <c r="I35" t="n">
        <v>5</v>
      </c>
      <c r="J35" t="n">
        <v>3125</v>
      </c>
    </row>
    <row r="36">
      <c r="B36" t="inlineStr">
        <is>
          <t>Итого</t>
        </is>
      </c>
      <c r="H36" t="n">
        <v>300</v>
      </c>
      <c r="J36" t="n">
        <v>16491</v>
      </c>
    </row>
    <row r="37"/>
    <row r="38">
      <c r="A38" t="inlineStr">
        <is>
          <t>Сводные показатели</t>
        </is>
      </c>
    </row>
    <row r="39">
      <c r="A39" t="inlineStr">
        <is>
          <t>Количество участков</t>
        </is>
      </c>
      <c r="B39" t="n">
        <v>6</v>
      </c>
    </row>
    <row r="40">
      <c r="A40" t="inlineStr">
        <is>
          <t>Суммарная площадь, м²</t>
        </is>
      </c>
      <c r="B40" t="n">
        <v>16294.7</v>
      </c>
    </row>
    <row r="41">
      <c r="A41" t="inlineStr">
        <is>
          <t>Суммарные теплопотери Q</t>
        </is>
      </c>
      <c r="B41" t="n">
        <v>431735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Расчёт потерь трансформатора</t>
        </is>
      </c>
    </row>
    <row r="3">
      <c r="A3" t="inlineStr">
        <is>
          <t>Мощность трансформатора, kVA</t>
        </is>
      </c>
      <c r="B3" t="n">
        <v>630</v>
      </c>
    </row>
    <row r="4">
      <c r="A4" t="inlineStr">
        <is>
          <t>Потери активной энергии за месяц, кВт·ч</t>
        </is>
      </c>
      <c r="B4" t="n">
        <v>3200</v>
      </c>
    </row>
    <row r="5">
      <c r="A5" t="inlineStr">
        <is>
          <t>Потери реактивной энергии за месяц, кВАр·ч</t>
        </is>
      </c>
      <c r="B5" t="n">
        <v>13600</v>
      </c>
    </row>
    <row r="6">
      <c r="A6" t="inlineStr">
        <is>
          <t>Количество часов в месяце</t>
        </is>
      </c>
      <c r="B6" t="n">
        <v>720</v>
      </c>
    </row>
    <row r="8">
      <c r="A8" t="inlineStr">
        <is>
          <t>Процент потерь активной энергии</t>
        </is>
      </c>
      <c r="B8">
        <f>IF(B3*B6&gt;0,B4/(B3*B6)*100,0)</f>
        <v/>
      </c>
    </row>
    <row r="9">
      <c r="A9" t="inlineStr">
        <is>
          <t>Процент потерь реактивной энергии</t>
        </is>
      </c>
      <c r="B9">
        <f>IF(B3*B6&gt;0,B5/(B3*B6)*100,0)</f>
        <v/>
      </c>
    </row>
    <row r="11">
      <c r="A11" t="inlineStr">
        <is>
          <t>Потери активной энергии за квартал, кВт·ч</t>
        </is>
      </c>
      <c r="B11" t="n">
        <v>9600</v>
      </c>
    </row>
    <row r="12">
      <c r="A12" t="inlineStr">
        <is>
          <t>Потери реактивной энергии за квартал, кВАр·ч</t>
        </is>
      </c>
      <c r="B12" t="n">
        <v>40800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9" customWidth="1" min="1" max="1"/>
    <col width="24" customWidth="1" min="2" max="2"/>
    <col width="26" customWidth="1" min="3" max="3"/>
    <col width="25" customWidth="1" min="4" max="4"/>
    <col width="20" customWidth="1" min="5" max="5"/>
    <col width="14" customWidth="1" min="6" max="6"/>
  </cols>
  <sheetData>
    <row r="1">
      <c r="A1" t="inlineStr">
        <is>
          <t>Энергетический баланс по категориям потребления</t>
        </is>
      </c>
    </row>
    <row r="2">
      <c r="A2" t="inlineStr">
        <is>
          <t>Квартал</t>
        </is>
      </c>
      <c r="B2" t="inlineStr">
        <is>
          <t>Технологические, кВт·ч</t>
        </is>
      </c>
      <c r="C2" t="inlineStr">
        <is>
          <t>Собственные нужды, кВт·ч</t>
        </is>
      </c>
      <c r="D2" t="inlineStr">
        <is>
          <t>Производственные, кВт·ч</t>
        </is>
      </c>
      <c r="E2" t="inlineStr">
        <is>
          <t>Хоз-бытовые, кВт·ч</t>
        </is>
      </c>
      <c r="F2" t="inlineStr">
        <is>
          <t>Итого, кВт·ч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3" customWidth="1" min="3" max="3"/>
    <col width="9" customWidth="1" min="4" max="4"/>
    <col width="10" customWidth="1" min="5" max="5"/>
    <col width="18" customWidth="1" min="6" max="6"/>
    <col width="27" customWidth="1" min="7" max="7"/>
  </cols>
  <sheetData>
    <row r="1">
      <c r="A1" t="inlineStr">
        <is>
          <t>Год</t>
        </is>
      </c>
      <c r="B1" t="inlineStr">
        <is>
          <t>Квартал</t>
        </is>
      </c>
      <c r="C1" t="inlineStr">
        <is>
          <t>Электроэнергия, кВт·ч</t>
        </is>
      </c>
      <c r="D1" t="inlineStr">
        <is>
          <t>Газ, м³</t>
        </is>
      </c>
      <c r="E1" t="inlineStr">
        <is>
          <t>Вода, м³</t>
        </is>
      </c>
      <c r="F1" t="inlineStr">
        <is>
          <t>Производство, кг</t>
        </is>
      </c>
      <c r="G1" t="inlineStr">
        <is>
          <t>Удельный расход, кВт·ч/кг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  <col width="16" customWidth="1" min="4" max="4"/>
    <col width="23" customWidth="1" min="5" max="5"/>
  </cols>
  <sheetData>
    <row r="1">
      <c r="A1" t="inlineStr">
        <is>
          <t>Мероприятие</t>
        </is>
      </c>
      <c r="B1" t="inlineStr">
        <is>
          <t>Экономия</t>
        </is>
      </c>
      <c r="C1" t="inlineStr">
        <is>
          <t>Ед. изм.</t>
        </is>
      </c>
      <c r="D1" t="inlineStr">
        <is>
          <t>Стоимость, USD</t>
        </is>
      </c>
      <c r="E1" t="inlineStr">
        <is>
          <t>Срок окупаемости, лет</t>
        </is>
      </c>
    </row>
    <row r="2">
      <c r="A2" t="inlineStr">
        <is>
          <t>Замена ламп накаливания на LED</t>
        </is>
      </c>
      <c r="B2" t="n">
        <v>15000</v>
      </c>
      <c r="C2" t="inlineStr">
        <is>
          <t>кВт·ч/год</t>
        </is>
      </c>
      <c r="D2" t="n">
        <v>5000</v>
      </c>
      <c r="E2" t="n">
        <v>2.2222</v>
      </c>
    </row>
    <row r="3">
      <c r="A3" t="inlineStr">
        <is>
          <t>Утепление ограждающих конструкций</t>
        </is>
      </c>
      <c r="B3" t="n">
        <v>120</v>
      </c>
      <c r="C3" t="inlineStr">
        <is>
          <t>Гкал/год</t>
        </is>
      </c>
      <c r="D3" t="n">
        <v>20000</v>
      </c>
      <c r="E3" t="n">
        <v>3.3333</v>
      </c>
    </row>
    <row r="4">
      <c r="A4" t="inlineStr">
        <is>
          <t>Установка частотных приводов на насосы</t>
        </is>
      </c>
      <c r="B4" t="n">
        <v>8000</v>
      </c>
      <c r="C4" t="inlineStr">
        <is>
          <t>кВт·ч/год</t>
        </is>
      </c>
      <c r="D4" t="n">
        <v>15000</v>
      </c>
      <c r="E4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2025-11-09T09:27:38Z</dcterms:created>
  <dcterms:modified xmlns:dcterms="http://purl.org/dc/terms/" xmlns:xsi="http://www.w3.org/2001/XMLSchema-instance" xsi:type="dcterms:W3CDTF">2025-11-13T09:51:53Z</dcterms:modified>
</cp:coreProperties>
</file>